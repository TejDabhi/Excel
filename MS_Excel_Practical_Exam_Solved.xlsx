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ej\Downloads\"/>
    </mc:Choice>
  </mc:AlternateContent>
  <xr:revisionPtr revIDLastSave="0" documentId="13_ncr:1_{3928795A-8C19-4B77-8F58-2A6C7975DAF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Instructions" sheetId="1" r:id="rId1"/>
    <sheet name="Sales_Data" sheetId="2" r:id="rId2"/>
    <sheet name="Product_Master" sheetId="3" r:id="rId3"/>
    <sheet name="Student_Marks" sheetId="4" r:id="rId4"/>
    <sheet name="Ques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5" l="1" a="1"/>
  <c r="B2" i="5" s="1"/>
  <c r="L4" i="4"/>
  <c r="L5" i="4"/>
  <c r="L3" i="4"/>
  <c r="L2" i="4"/>
  <c r="I3" i="4"/>
  <c r="I4" i="4"/>
  <c r="I5" i="4"/>
  <c r="I6" i="4"/>
  <c r="I2" i="4"/>
  <c r="P2" i="2"/>
  <c r="G2" i="4"/>
  <c r="H2" i="4"/>
  <c r="H3" i="4"/>
  <c r="H4" i="4"/>
  <c r="H5" i="4"/>
  <c r="H6" i="4"/>
  <c r="P3" i="2"/>
  <c r="O2" i="2"/>
  <c r="N2" i="2"/>
  <c r="M2" i="2"/>
  <c r="M3" i="2"/>
  <c r="L2" i="2"/>
  <c r="K2" i="2"/>
  <c r="J3" i="2"/>
  <c r="J2" i="2"/>
  <c r="I2" i="2"/>
  <c r="H2" i="2"/>
  <c r="H32" i="5"/>
  <c r="G6" i="4"/>
  <c r="G5" i="4"/>
  <c r="G4" i="4"/>
  <c r="G3" i="4"/>
  <c r="S10" i="2"/>
  <c r="S9" i="2"/>
  <c r="S8" i="2"/>
  <c r="S7" i="2"/>
  <c r="P7" i="2"/>
  <c r="O7" i="2"/>
  <c r="N7" i="2"/>
  <c r="M7" i="2"/>
  <c r="L7" i="2"/>
  <c r="I7" i="2"/>
  <c r="H7" i="2"/>
  <c r="S6" i="2"/>
  <c r="P6" i="2"/>
  <c r="O6" i="2"/>
  <c r="N6" i="2"/>
  <c r="M6" i="2"/>
  <c r="L6" i="2"/>
  <c r="I6" i="2"/>
  <c r="H6" i="2"/>
  <c r="P5" i="2"/>
  <c r="O5" i="2"/>
  <c r="N5" i="2"/>
  <c r="M5" i="2"/>
  <c r="L5" i="2"/>
  <c r="I5" i="2"/>
  <c r="J5" i="2" s="1"/>
  <c r="K5" i="2" s="1"/>
  <c r="H5" i="2"/>
  <c r="P4" i="2"/>
  <c r="O4" i="2"/>
  <c r="N4" i="2"/>
  <c r="M4" i="2"/>
  <c r="L4" i="2"/>
  <c r="K4" i="2"/>
  <c r="J4" i="2"/>
  <c r="I4" i="2"/>
  <c r="H4" i="2"/>
  <c r="S3" i="2"/>
  <c r="O3" i="2"/>
  <c r="N3" i="2"/>
  <c r="L3" i="2"/>
  <c r="I3" i="2"/>
  <c r="H3" i="2"/>
  <c r="K7" i="2" l="1"/>
  <c r="J7" i="2"/>
  <c r="J6" i="2"/>
  <c r="K6" i="2" s="1"/>
  <c r="K3" i="2"/>
  <c r="S2" i="2" l="1"/>
  <c r="S5" i="2"/>
  <c r="S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<sst xmlns="http://schemas.openxmlformats.org/spreadsheetml/2006/main" count="147" uniqueCount="132">
  <si>
    <t>MS Excel Practical Exam</t>
  </si>
  <si>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</si>
  <si>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</si>
  <si>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</si>
  <si>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</si>
  <si>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</si>
  <si>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</si>
  <si>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</si>
  <si>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</si>
  <si>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</si>
  <si>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</si>
  <si>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</si>
  <si>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</si>
  <si>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</si>
  <si>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</si>
  <si>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South</t>
  </si>
  <si>
    <t>Riya</t>
  </si>
  <si>
    <t>Mobile</t>
  </si>
  <si>
    <t>East</t>
  </si>
  <si>
    <t>Kunal</t>
  </si>
  <si>
    <t>Tablet</t>
  </si>
  <si>
    <t>West</t>
  </si>
  <si>
    <t>Neha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</si>
  <si>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</si>
  <si>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</si>
  <si>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</si>
  <si>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</si>
  <si>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</si>
  <si>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</si>
  <si>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</si>
  <si>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</si>
  <si>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</si>
  <si>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</si>
  <si>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</si>
  <si>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</si>
  <si>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</si>
  <si>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</si>
  <si>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</si>
  <si>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</si>
  <si>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</si>
  <si>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</si>
  <si>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</si>
  <si>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</si>
  <si>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</si>
  <si>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</si>
  <si>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</si>
  <si>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</si>
  <si>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</si>
  <si>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</si>
  <si>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</si>
  <si>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</si>
  <si>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</si>
  <si>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</si>
  <si>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</si>
  <si>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</si>
  <si>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</si>
  <si>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</si>
  <si>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</si>
  <si>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</si>
  <si>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</si>
  <si>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</si>
  <si>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</si>
  <si>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</si>
  <si>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</si>
  <si>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</si>
  <si>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</si>
  <si>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</si>
  <si>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Total_Sales</t>
  </si>
  <si>
    <t>GST_Amount</t>
  </si>
  <si>
    <t>Final_Amount</t>
  </si>
  <si>
    <t>Quantity_Class</t>
  </si>
  <si>
    <t>Month_Name</t>
  </si>
  <si>
    <t>Product_Category</t>
  </si>
  <si>
    <t>Salesperson_Initials</t>
  </si>
  <si>
    <t>Rounded_Unit_Price</t>
  </si>
  <si>
    <t>Sales Analysis</t>
  </si>
  <si>
    <t>Result / Formula</t>
  </si>
  <si>
    <t>Grand Total Final Amount</t>
  </si>
  <si>
    <t>Total Orders</t>
  </si>
  <si>
    <t>Maximum Final Amount</t>
  </si>
  <si>
    <t>Minimum Final Amount</t>
  </si>
  <si>
    <t>North Total Sales</t>
  </si>
  <si>
    <t>South Total Sales</t>
  </si>
  <si>
    <t>East Total Sales</t>
  </si>
  <si>
    <t>West Total Sales</t>
  </si>
  <si>
    <t>Laptop Orders in North</t>
  </si>
  <si>
    <t>Duplicate Records</t>
  </si>
  <si>
    <t>No duplicate records found</t>
  </si>
  <si>
    <t>Laptop &amp; Qty &gt; 1</t>
  </si>
  <si>
    <t>Order IDs 301 and 306</t>
  </si>
  <si>
    <t>Sorted Order IDs (Descending Final Amount)</t>
  </si>
  <si>
    <t>301, 306, 302, 305, 303, 304</t>
  </si>
  <si>
    <t>Average_Marks</t>
  </si>
  <si>
    <t>Eligibility</t>
  </si>
  <si>
    <t>Student_ID_Name</t>
  </si>
  <si>
    <t>Student Analysis</t>
  </si>
  <si>
    <t>Topper</t>
  </si>
  <si>
    <t>Students Attendance &gt; 90%</t>
  </si>
  <si>
    <t>Median Statistics Marks</t>
  </si>
  <si>
    <t>Standard Deviation of Excel Marks</t>
  </si>
  <si>
    <t>Protection Status</t>
  </si>
  <si>
    <t>Sheet prepared for protection in Excel</t>
  </si>
  <si>
    <t>Formula / Method</t>
  </si>
  <si>
    <t>=VLOOKUP(Product,Product_Master,3,FALSE)</t>
  </si>
  <si>
    <t>=Total Sales+GST Amount</t>
  </si>
  <si>
    <t>=SUM(Final Amount)</t>
  </si>
  <si>
    <t>=COUNTA(Order_ID)</t>
  </si>
  <si>
    <t>=SUMIF(Region,criteria,Total Sales)</t>
  </si>
  <si>
    <t>=IF(Quantity&gt;3,"High","Low")</t>
  </si>
  <si>
    <t>=MAX / MIN(Final Amount)</t>
  </si>
  <si>
    <t>=TEXT(Sales_Date,"mmmm")</t>
  </si>
  <si>
    <t>Descending sequence documented</t>
  </si>
  <si>
    <t>=INDEX(Category,MATCH(Product,...))</t>
  </si>
  <si>
    <t>=AVERAGE(Maths:Excel)</t>
  </si>
  <si>
    <t>=INDEX(Name,MATCH(MAX(Average),Average,0))</t>
  </si>
  <si>
    <t>=COUNTIF(Attendance,"&gt;90")</t>
  </si>
  <si>
    <t>=IF(Attendance&gt;=85,"Eligible","Not Eligible")</t>
  </si>
  <si>
    <t>Product-wise summary table</t>
  </si>
  <si>
    <t>Region-wise summary table</t>
  </si>
  <si>
    <t>Product-wise sales chart</t>
  </si>
  <si>
    <t>Student Excel marks bar chart</t>
  </si>
  <si>
    <t>=MEDIAN(Statistics)</t>
  </si>
  <si>
    <t>=STDEV.S(Excel)</t>
  </si>
  <si>
    <t>=CONCAT(Student_ID," - ",Name)</t>
  </si>
  <si>
    <t>=LEFT(Salesperson,2)</t>
  </si>
  <si>
    <t>Conditional formatting &gt; 60000</t>
  </si>
  <si>
    <t>Matching orders identified: 301, 306</t>
  </si>
  <si>
    <t>=COUNTIFS(Product,"Laptop",Region,"North")</t>
  </si>
  <si>
    <t>=ROUND(Unit_Price,-3)</t>
  </si>
  <si>
    <t>Checked; no duplicates present</t>
  </si>
  <si>
    <t>Top row frozen</t>
  </si>
  <si>
    <t>Use Review &gt; Protect Sheet (no password)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</si>
</sst>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\₹#,##0.00"/>
    <numFmt numFmtId="166" formatCode="\₹#,##0"/>
  </numFmts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3">
    <dxf>
      <font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DE68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3"/>
  <sheetViews>
    <sheetView workbookViewId="0">
      <selection activeCell="P2" sqref="P2"/>
    </sheetView>
  </sheetViews>
  <sheetFormatPr defaultRowHeight="14.4" x14ac:dyDescent="0.3"/>
  <cols>
    <col min="1" max="1" width="7.44140625" customWidth="1"/>
    <col min="2" max="2" width="5.77734375" customWidth="1"/>
    <col min="3" max="3" width="9.6640625" customWidth="1"/>
    <col min="4" max="4" width="6.44140625" customWidth="1"/>
    <col min="5" max="5" width="7.21875" customWidth="1"/>
    <col min="6" max="6" width="14.5546875" customWidth="1"/>
    <col min="7" max="7" width="14.21875" customWidth="1"/>
    <col min="8" max="8" width="15.77734375" customWidth="1"/>
    <col min="9" max="9" width="17.44140625" customWidth="1"/>
    <col min="10" max="10" width="15.77734375" customWidth="1"/>
    <col min="11" max="11" width="16.21875" customWidth="1"/>
    <col min="12" max="12" width="12" customWidth="1"/>
    <col min="13" max="13" width="11.109375" customWidth="1"/>
    <col min="14" max="14" width="14.109375" customWidth="1"/>
    <col min="15" max="15" width="15.6640625" customWidth="1"/>
    <col min="16" max="16" width="16.21875" customWidth="1"/>
    <col min="18" max="18" width="33.44140625" customWidth="1"/>
    <col min="19" max="19" width="21.6640625" customWidth="1"/>
  </cols>
  <sheetData>
    <row r="1" spans="1:19" ht="28.8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67</v>
      </c>
      <c r="I1" s="2" t="s">
        <v>24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R1" s="2" t="s">
        <v>75</v>
      </c>
      <c r="S1" s="2" t="s">
        <v>76</v>
      </c>
    </row>
    <row r="2" spans="1:19" x14ac:dyDescent="0.3">
      <c r="A2">
        <v>301</v>
      </c>
      <c r="B2" t="s">
        <v>12</v>
      </c>
      <c r="C2" t="s">
        <v>13</v>
      </c>
      <c r="D2" t="s">
        <v>14</v>
      </c>
      <c r="E2">
        <v>2</v>
      </c>
      <c r="F2">
        <v>45000</v>
      </c>
      <c r="G2" s="1">
        <v>45662</v>
      </c>
      <c r="H2" s="3">
        <f>E2*F2</f>
        <v>90000</v>
      </c>
      <c r="I2" s="3">
        <f>VLOOKUP(Sales_Data!D2,Product_Master!$A$2:$C$4,3,FALSE)</f>
        <v>18</v>
      </c>
      <c r="J2" s="3">
        <f>H2*I2/100</f>
        <v>16200</v>
      </c>
      <c r="K2" s="3">
        <f>H2+J2</f>
        <v>106200</v>
      </c>
      <c r="L2" t="str">
        <f>IF(E2&gt;3,"High","Low")</f>
        <v>Low</v>
      </c>
      <c r="M2" t="str">
        <f>TEXT(G2,"mmmm")</f>
        <v>January</v>
      </c>
      <c r="N2" t="str">
        <f>INDEX(Product_Master!$B$2:$B$4,MATCH(D2,Product_Master!$A$2:$A$4,0))</f>
        <v>Electronics</v>
      </c>
      <c r="O2" t="str">
        <f>LEFT(C2,2)</f>
        <v>Am</v>
      </c>
      <c r="P2" s="4">
        <f>ROUND(F2,-3)</f>
        <v>45000</v>
      </c>
      <c r="R2" t="s">
        <v>77</v>
      </c>
      <c r="S2" s="3">
        <f>SUM(K2:K7)</f>
        <v>477180</v>
      </c>
    </row>
    <row r="3" spans="1:19" x14ac:dyDescent="0.3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s="1">
        <v>45664</v>
      </c>
      <c r="H3" s="3">
        <f t="shared" ref="H2:H7" si="0">E3*F3</f>
        <v>75000</v>
      </c>
      <c r="I3" s="3">
        <f>VLOOKUP(D3,Product_Master!$A$2:$C$4,3,FALSE)</f>
        <v>12</v>
      </c>
      <c r="J3" s="3">
        <f>H3*I3/100</f>
        <v>9000</v>
      </c>
      <c r="K3" s="3">
        <f t="shared" ref="K2:K7" si="1">H3+J3</f>
        <v>84000</v>
      </c>
      <c r="L3" t="str">
        <f t="shared" ref="L2:L7" si="2">IF(E3&gt;3,"High","Low")</f>
        <v>High</v>
      </c>
      <c r="M3" t="str">
        <f>TEXT(G3,"mmmm")</f>
        <v>January</v>
      </c>
      <c r="N3" t="str">
        <f>INDEX(Product_Master!$B$2:$B$4,MATCH(D3,Product_Master!$A$2:$A$4,0))</f>
        <v>Electronics</v>
      </c>
      <c r="O3" t="str">
        <f t="shared" ref="O2:O7" si="3">LEFT(C3,2)</f>
        <v>Ri</v>
      </c>
      <c r="P3" s="4">
        <f>ROUND(F3,-3)</f>
        <v>15000</v>
      </c>
      <c r="R3" t="s">
        <v>78</v>
      </c>
      <c r="S3" s="3">
        <f>COUNTA(A2:A7)</f>
        <v>6</v>
      </c>
    </row>
    <row r="4" spans="1:19" x14ac:dyDescent="0.3">
      <c r="A4">
        <v>303</v>
      </c>
      <c r="B4" t="s">
        <v>18</v>
      </c>
      <c r="C4" t="s">
        <v>19</v>
      </c>
      <c r="D4" t="s">
        <v>20</v>
      </c>
      <c r="E4">
        <v>3</v>
      </c>
      <c r="F4">
        <v>18000</v>
      </c>
      <c r="G4" s="1">
        <v>45667</v>
      </c>
      <c r="H4" s="3">
        <f t="shared" si="0"/>
        <v>54000</v>
      </c>
      <c r="I4" s="3">
        <f>VLOOKUP(D4,Product_Master!$A$2:$C$4,3,FALSE)</f>
        <v>12</v>
      </c>
      <c r="J4" s="3">
        <f t="shared" ref="J2:J7" si="4">H4*I4/100</f>
        <v>6480</v>
      </c>
      <c r="K4" s="3">
        <f t="shared" si="1"/>
        <v>60480</v>
      </c>
      <c r="L4" t="str">
        <f t="shared" si="2"/>
        <v>Low</v>
      </c>
      <c r="M4" t="str">
        <f t="shared" ref="M2:M7" si="5">TEXT(G4,"mmmm")</f>
        <v>January</v>
      </c>
      <c r="N4" t="str">
        <f>INDEX(Product_Master!$B$2:$B$4,MATCH(D4,Product_Master!$A$2:$A$4,0))</f>
        <v>Electronics</v>
      </c>
      <c r="O4" t="str">
        <f t="shared" si="3"/>
        <v>Ku</v>
      </c>
      <c r="P4" s="4">
        <f t="shared" ref="P2:P7" si="6">ROUND(F4,-3)</f>
        <v>18000</v>
      </c>
      <c r="R4" t="s">
        <v>79</v>
      </c>
      <c r="S4" s="3">
        <f>MAX(K2:K7)</f>
        <v>106200</v>
      </c>
    </row>
    <row r="5" spans="1:19" x14ac:dyDescent="0.3">
      <c r="A5">
        <v>304</v>
      </c>
      <c r="B5" t="s">
        <v>21</v>
      </c>
      <c r="C5" t="s">
        <v>22</v>
      </c>
      <c r="D5" t="s">
        <v>14</v>
      </c>
      <c r="E5">
        <v>1</v>
      </c>
      <c r="F5">
        <v>45000</v>
      </c>
      <c r="G5" s="1">
        <v>45669</v>
      </c>
      <c r="H5" s="3">
        <f t="shared" si="0"/>
        <v>45000</v>
      </c>
      <c r="I5" s="3">
        <f>VLOOKUP(D5,Product_Master!$A$2:$C$4,3,FALSE)</f>
        <v>18</v>
      </c>
      <c r="J5" s="3">
        <f t="shared" si="4"/>
        <v>8100</v>
      </c>
      <c r="K5" s="3">
        <f t="shared" si="1"/>
        <v>53100</v>
      </c>
      <c r="L5" t="str">
        <f t="shared" si="2"/>
        <v>Low</v>
      </c>
      <c r="M5" t="str">
        <f t="shared" si="5"/>
        <v>January</v>
      </c>
      <c r="N5" t="str">
        <f>INDEX(Product_Master!$B$2:$B$4,MATCH(D5,Product_Master!$A$2:$A$4,0))</f>
        <v>Electronics</v>
      </c>
      <c r="O5" t="str">
        <f t="shared" si="3"/>
        <v>Ne</v>
      </c>
      <c r="P5" s="4">
        <f t="shared" si="6"/>
        <v>45000</v>
      </c>
      <c r="R5" t="s">
        <v>80</v>
      </c>
      <c r="S5" s="3">
        <f>MIN(K2:K7)</f>
        <v>53100</v>
      </c>
    </row>
    <row r="6" spans="1:19" x14ac:dyDescent="0.3">
      <c r="A6">
        <v>305</v>
      </c>
      <c r="B6" t="s">
        <v>12</v>
      </c>
      <c r="C6" t="s">
        <v>13</v>
      </c>
      <c r="D6" t="s">
        <v>17</v>
      </c>
      <c r="E6">
        <v>4</v>
      </c>
      <c r="F6">
        <v>15000</v>
      </c>
      <c r="G6" s="1">
        <v>45672</v>
      </c>
      <c r="H6" s="3">
        <f t="shared" si="0"/>
        <v>60000</v>
      </c>
      <c r="I6" s="3">
        <f>VLOOKUP(D6,Product_Master!$A$2:$C$4,3,FALSE)</f>
        <v>12</v>
      </c>
      <c r="J6" s="3">
        <f t="shared" si="4"/>
        <v>7200</v>
      </c>
      <c r="K6" s="3">
        <f t="shared" si="1"/>
        <v>67200</v>
      </c>
      <c r="L6" t="str">
        <f t="shared" si="2"/>
        <v>High</v>
      </c>
      <c r="M6" t="str">
        <f t="shared" si="5"/>
        <v>January</v>
      </c>
      <c r="N6" t="str">
        <f>INDEX(Product_Master!$B$2:$B$4,MATCH(D6,Product_Master!$A$2:$A$4,0))</f>
        <v>Electronics</v>
      </c>
      <c r="O6" t="str">
        <f t="shared" si="3"/>
        <v>Am</v>
      </c>
      <c r="P6" s="4">
        <f t="shared" si="6"/>
        <v>15000</v>
      </c>
      <c r="R6" t="s">
        <v>81</v>
      </c>
      <c r="S6" s="3">
        <f>SUMIF(B2:B7,"North",H2:H7)</f>
        <v>150000</v>
      </c>
    </row>
    <row r="7" spans="1:19" x14ac:dyDescent="0.3">
      <c r="A7">
        <v>306</v>
      </c>
      <c r="B7" t="s">
        <v>15</v>
      </c>
      <c r="C7" t="s">
        <v>16</v>
      </c>
      <c r="D7" t="s">
        <v>14</v>
      </c>
      <c r="E7">
        <v>2</v>
      </c>
      <c r="F7">
        <v>45000</v>
      </c>
      <c r="G7" s="1">
        <v>45675</v>
      </c>
      <c r="H7" s="3">
        <f t="shared" si="0"/>
        <v>90000</v>
      </c>
      <c r="I7" s="3">
        <f>VLOOKUP(D7,Product_Master!$A$2:$C$4,3,FALSE)</f>
        <v>18</v>
      </c>
      <c r="J7" s="3">
        <f t="shared" si="4"/>
        <v>16200</v>
      </c>
      <c r="K7" s="3">
        <f t="shared" si="1"/>
        <v>106200</v>
      </c>
      <c r="L7" t="str">
        <f t="shared" si="2"/>
        <v>Low</v>
      </c>
      <c r="M7" t="str">
        <f t="shared" si="5"/>
        <v>January</v>
      </c>
      <c r="N7" t="str">
        <f>INDEX(Product_Master!$B$2:$B$4,MATCH(D7,Product_Master!$A$2:$A$4,0))</f>
        <v>Electronics</v>
      </c>
      <c r="O7" t="str">
        <f t="shared" si="3"/>
        <v>Ri</v>
      </c>
      <c r="P7" s="4">
        <f t="shared" si="6"/>
        <v>45000</v>
      </c>
      <c r="R7" t="s">
        <v>82</v>
      </c>
      <c r="S7" s="3">
        <f>SUMIF(B2:B7,"South",H2:H7)</f>
        <v>165000</v>
      </c>
    </row>
    <row r="8" spans="1:19" x14ac:dyDescent="0.3">
      <c r="R8" t="s">
        <v>83</v>
      </c>
      <c r="S8" s="3">
        <f>SUMIF(B2:B7,"East",H2:H7)</f>
        <v>54000</v>
      </c>
    </row>
    <row r="9" spans="1:19" x14ac:dyDescent="0.3">
      <c r="R9" t="s">
        <v>84</v>
      </c>
      <c r="S9" s="3">
        <f>SUMIF(B2:B7,"West",H2:H7)</f>
        <v>45000</v>
      </c>
    </row>
    <row r="10" spans="1:19" x14ac:dyDescent="0.3">
      <c r="R10" t="s">
        <v>85</v>
      </c>
      <c r="S10">
        <f>COUNTIFS(D2:D7,"Laptop",B2:B7,"North")</f>
        <v>1</v>
      </c>
    </row>
    <row r="11" spans="1:19" x14ac:dyDescent="0.3">
      <c r="R11" t="s">
        <v>86</v>
      </c>
      <c r="S11" t="s">
        <v>87</v>
      </c>
    </row>
    <row r="12" spans="1:19" x14ac:dyDescent="0.3">
      <c r="R12" t="s">
        <v>88</v>
      </c>
      <c r="S12" t="s">
        <v>89</v>
      </c>
    </row>
    <row r="13" spans="1:19" x14ac:dyDescent="0.3">
      <c r="R13" t="s">
        <v>90</v>
      </c>
      <c r="S13" t="s">
        <v>91</v>
      </c>
    </row>
  </sheetData>
  <conditionalFormatting sqref="K2:K7">
    <cfRule type="cellIs" dxfId="2" priority="1" operator="greaterThan">
      <formula>60000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4.4" x14ac:dyDescent="0.3"/>
  <sheetData>
    <row r="1" spans="1:3" x14ac:dyDescent="0.3">
      <c r="A1" t="s">
        <v>8</v>
      </c>
      <c r="B1" t="s">
        <v>23</v>
      </c>
      <c r="C1" t="s">
        <v>24</v>
      </c>
    </row>
    <row r="2" spans="1:3" x14ac:dyDescent="0.3">
      <c r="A2" t="s">
        <v>14</v>
      </c>
      <c r="B2" t="s">
        <v>25</v>
      </c>
      <c r="C2">
        <v>18</v>
      </c>
    </row>
    <row r="3" spans="1:3" x14ac:dyDescent="0.3">
      <c r="A3" t="s">
        <v>17</v>
      </c>
      <c r="B3" t="s">
        <v>25</v>
      </c>
      <c r="C3">
        <v>12</v>
      </c>
    </row>
    <row r="4" spans="1:3" x14ac:dyDescent="0.3">
      <c r="A4" t="s">
        <v>20</v>
      </c>
      <c r="B4" t="s">
        <v>25</v>
      </c>
      <c r="C4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"/>
  <sheetViews>
    <sheetView workbookViewId="0">
      <selection activeCell="L5" sqref="L5"/>
    </sheetView>
  </sheetViews>
  <sheetFormatPr defaultRowHeight="14.4" x14ac:dyDescent="0.3"/>
  <cols>
    <col min="1" max="1" width="9.109375" customWidth="1"/>
    <col min="2" max="2" width="5.109375" customWidth="1"/>
    <col min="3" max="3" width="5.33203125" customWidth="1"/>
    <col min="4" max="4" width="7.21875" customWidth="1"/>
    <col min="5" max="5" width="4.33203125" customWidth="1"/>
    <col min="6" max="6" width="11.44140625" customWidth="1"/>
    <col min="7" max="7" width="12.33203125" customWidth="1"/>
    <col min="8" max="8" width="9" customWidth="1"/>
    <col min="9" max="9" width="14.44140625" customWidth="1"/>
    <col min="11" max="11" width="25.88671875" customWidth="1"/>
    <col min="12" max="12" width="28.77734375" customWidth="1"/>
  </cols>
  <sheetData>
    <row r="1" spans="1:12" ht="28.8" x14ac:dyDescent="0.3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92</v>
      </c>
      <c r="H1" s="2" t="s">
        <v>93</v>
      </c>
      <c r="I1" s="2" t="s">
        <v>94</v>
      </c>
      <c r="K1" s="2" t="s">
        <v>95</v>
      </c>
      <c r="L1" s="2" t="s">
        <v>76</v>
      </c>
    </row>
    <row r="2" spans="1:12" x14ac:dyDescent="0.3">
      <c r="A2">
        <v>1</v>
      </c>
      <c r="B2" t="s">
        <v>32</v>
      </c>
      <c r="C2">
        <v>78</v>
      </c>
      <c r="D2">
        <v>82</v>
      </c>
      <c r="E2">
        <v>85</v>
      </c>
      <c r="F2">
        <v>92</v>
      </c>
      <c r="G2" s="5">
        <f>AVERAGE(C2:E2)</f>
        <v>81.666666666666671</v>
      </c>
      <c r="H2" t="str">
        <f>IF(F2&gt;=85,"Eligible","Not Eligible")</f>
        <v>Eligible</v>
      </c>
      <c r="I2" t="str">
        <f>_xlfn.CONCAT(A2," - ",B2)</f>
        <v>1 - Rahul</v>
      </c>
      <c r="K2" t="s">
        <v>96</v>
      </c>
      <c r="L2" t="str">
        <f>INDEX(B2:B6,MATCH(MAX(G2:G6),G2:G6,0))</f>
        <v>Pooja</v>
      </c>
    </row>
    <row r="3" spans="1:12" x14ac:dyDescent="0.3">
      <c r="A3">
        <v>2</v>
      </c>
      <c r="B3" t="s">
        <v>33</v>
      </c>
      <c r="C3">
        <v>88</v>
      </c>
      <c r="D3">
        <v>91</v>
      </c>
      <c r="E3">
        <v>90</v>
      </c>
      <c r="F3">
        <v>96</v>
      </c>
      <c r="G3" s="5">
        <f>AVERAGE(C3:E3)</f>
        <v>89.666666666666671</v>
      </c>
      <c r="H3" t="str">
        <f>IF(F3&gt;=85,"Eligible","Not Eligible")</f>
        <v>Eligible</v>
      </c>
      <c r="I3" t="str">
        <f t="shared" ref="I3:I6" si="0">_xlfn.CONCAT(A3," - ",B3)</f>
        <v>2 - Sneha</v>
      </c>
      <c r="K3" t="s">
        <v>97</v>
      </c>
      <c r="L3">
        <f>COUNTIF(F2:F6,"&gt;90")</f>
        <v>3</v>
      </c>
    </row>
    <row r="4" spans="1:12" x14ac:dyDescent="0.3">
      <c r="A4">
        <v>3</v>
      </c>
      <c r="B4" t="s">
        <v>34</v>
      </c>
      <c r="C4">
        <v>65</v>
      </c>
      <c r="D4">
        <v>70</v>
      </c>
      <c r="E4">
        <v>72</v>
      </c>
      <c r="F4">
        <v>85</v>
      </c>
      <c r="G4" s="5">
        <f>AVERAGE(C4:E4)</f>
        <v>69</v>
      </c>
      <c r="H4" t="str">
        <f>IF(F4&gt;=85,"Eligible","Not Eligible")</f>
        <v>Eligible</v>
      </c>
      <c r="I4" t="str">
        <f t="shared" si="0"/>
        <v>3 - Arjun</v>
      </c>
      <c r="K4" t="s">
        <v>98</v>
      </c>
      <c r="L4">
        <f>MEDIAN(D2:D6)</f>
        <v>82</v>
      </c>
    </row>
    <row r="5" spans="1:12" x14ac:dyDescent="0.3">
      <c r="A5">
        <v>4</v>
      </c>
      <c r="B5" t="s">
        <v>35</v>
      </c>
      <c r="C5">
        <v>92</v>
      </c>
      <c r="D5">
        <v>89</v>
      </c>
      <c r="E5">
        <v>94</v>
      </c>
      <c r="F5">
        <v>98</v>
      </c>
      <c r="G5" s="5">
        <f>AVERAGE(C5:E5)</f>
        <v>91.666666666666671</v>
      </c>
      <c r="H5" t="str">
        <f>IF(F5&gt;=85,"Eligible","Not Eligible")</f>
        <v>Eligible</v>
      </c>
      <c r="I5" t="str">
        <f t="shared" si="0"/>
        <v>4 - Pooja</v>
      </c>
      <c r="K5" t="s">
        <v>99</v>
      </c>
      <c r="L5" s="5">
        <f>_xlfn.STDEV.S(E2:E6)</f>
        <v>14.737706741552426</v>
      </c>
    </row>
    <row r="6" spans="1:12" x14ac:dyDescent="0.3">
      <c r="A6">
        <v>5</v>
      </c>
      <c r="B6" t="s">
        <v>36</v>
      </c>
      <c r="C6">
        <v>55</v>
      </c>
      <c r="D6">
        <v>60</v>
      </c>
      <c r="E6">
        <v>58</v>
      </c>
      <c r="F6">
        <v>80</v>
      </c>
      <c r="G6" s="5">
        <f>AVERAGE(C6:E6)</f>
        <v>57.666666666666664</v>
      </c>
      <c r="H6" t="str">
        <f>IF(F6&gt;=85,"Eligible","Not Eligible")</f>
        <v>Not Eligible</v>
      </c>
      <c r="I6" t="str">
        <f t="shared" si="0"/>
        <v>5 - Vikas</v>
      </c>
      <c r="K6" t="s">
        <v>100</v>
      </c>
      <c r="L6" t="s">
        <v>101</v>
      </c>
    </row>
  </sheetData>
  <conditionalFormatting sqref="H2:H6">
    <cfRule type="expression" dxfId="1" priority="1">
      <formula>H2="Eligible"</formula>
    </cfRule>
    <cfRule type="expression" dxfId="0" priority="2">
      <formula>H2="Not Eligible"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2"/>
  <sheetViews>
    <sheetView tabSelected="1" workbookViewId="0">
      <selection activeCell="J5" sqref="J5"/>
    </sheetView>
  </sheetViews>
  <sheetFormatPr defaultRowHeight="14.4" x14ac:dyDescent="0.3"/>
  <cols>
    <col min="1" max="1" width="68" customWidth="1"/>
    <col min="2" max="2" width="42" customWidth="1"/>
  </cols>
  <sheetData>
    <row r="1" spans="1:8" x14ac:dyDescent="0.3">
      <c r="A1" s="6" t="s">
        <v>37</v>
      </c>
      <c r="B1" s="2" t="s">
        <v>102</v>
      </c>
      <c r="H1">
        <v>2</v>
      </c>
    </row>
    <row r="2" spans="1:8" x14ac:dyDescent="0.3">
      <c r="A2" s="6" t="s">
        <v>38</v>
      </c>
      <c r="B2" s="6" t="e" cm="1">
        <f t="array" ref="B2">Quantity*Unit_Price</f>
        <v>#NAME?</v>
      </c>
      <c r="H2">
        <v>2</v>
      </c>
    </row>
    <row r="3" spans="1:8" x14ac:dyDescent="0.3">
      <c r="A3" s="6" t="s">
        <v>39</v>
      </c>
      <c r="B3" s="6" t="s">
        <v>103</v>
      </c>
      <c r="H3">
        <v>2</v>
      </c>
    </row>
    <row r="4" spans="1:8" x14ac:dyDescent="0.3">
      <c r="A4" s="6" t="s">
        <v>40</v>
      </c>
      <c r="B4" s="6" t="s">
        <v>104</v>
      </c>
      <c r="H4">
        <v>2</v>
      </c>
    </row>
    <row r="5" spans="1:8" x14ac:dyDescent="0.3">
      <c r="A5" s="6" t="s">
        <v>41</v>
      </c>
      <c r="B5" s="6" t="s">
        <v>105</v>
      </c>
      <c r="H5">
        <v>2</v>
      </c>
    </row>
    <row r="6" spans="1:8" x14ac:dyDescent="0.3">
      <c r="A6" s="6" t="s">
        <v>42</v>
      </c>
      <c r="B6" s="6" t="s">
        <v>106</v>
      </c>
      <c r="H6">
        <v>2</v>
      </c>
    </row>
    <row r="7" spans="1:8" x14ac:dyDescent="0.3">
      <c r="A7" s="6" t="s">
        <v>43</v>
      </c>
      <c r="B7" s="6" t="s">
        <v>107</v>
      </c>
      <c r="H7">
        <v>2</v>
      </c>
    </row>
    <row r="8" spans="1:8" x14ac:dyDescent="0.3">
      <c r="A8" s="6" t="s">
        <v>44</v>
      </c>
      <c r="B8" s="6" t="s">
        <v>108</v>
      </c>
      <c r="H8">
        <v>2</v>
      </c>
    </row>
    <row r="9" spans="1:8" x14ac:dyDescent="0.3">
      <c r="A9" s="6" t="s">
        <v>45</v>
      </c>
      <c r="B9" s="6" t="s">
        <v>109</v>
      </c>
      <c r="H9">
        <v>2</v>
      </c>
    </row>
    <row r="10" spans="1:8" x14ac:dyDescent="0.3">
      <c r="A10" s="6" t="s">
        <v>46</v>
      </c>
      <c r="B10" s="6" t="s">
        <v>110</v>
      </c>
      <c r="H10">
        <v>2</v>
      </c>
    </row>
    <row r="11" spans="1:8" x14ac:dyDescent="0.3">
      <c r="A11" s="6" t="s">
        <v>47</v>
      </c>
      <c r="B11" s="6" t="s">
        <v>111</v>
      </c>
      <c r="H11">
        <v>2</v>
      </c>
    </row>
    <row r="12" spans="1:8" x14ac:dyDescent="0.3">
      <c r="A12" s="6" t="s">
        <v>48</v>
      </c>
      <c r="B12" s="6" t="s">
        <v>112</v>
      </c>
      <c r="H12">
        <v>2</v>
      </c>
    </row>
    <row r="13" spans="1:8" x14ac:dyDescent="0.3">
      <c r="A13" s="6" t="s">
        <v>49</v>
      </c>
      <c r="B13" s="6" t="s">
        <v>113</v>
      </c>
      <c r="H13">
        <v>2</v>
      </c>
    </row>
    <row r="14" spans="1:8" x14ac:dyDescent="0.3">
      <c r="A14" s="6" t="s">
        <v>50</v>
      </c>
      <c r="B14" s="6" t="s">
        <v>114</v>
      </c>
      <c r="H14">
        <v>2</v>
      </c>
    </row>
    <row r="15" spans="1:8" x14ac:dyDescent="0.3">
      <c r="A15" s="6" t="s">
        <v>51</v>
      </c>
      <c r="B15" s="6" t="s">
        <v>115</v>
      </c>
      <c r="H15">
        <v>2</v>
      </c>
    </row>
    <row r="16" spans="1:8" x14ac:dyDescent="0.3">
      <c r="A16" s="6" t="s">
        <v>52</v>
      </c>
      <c r="B16" s="6" t="s">
        <v>116</v>
      </c>
      <c r="H16">
        <v>2</v>
      </c>
    </row>
    <row r="17" spans="1:8" x14ac:dyDescent="0.3">
      <c r="A17" s="6" t="s">
        <v>53</v>
      </c>
      <c r="B17" s="6" t="s">
        <v>117</v>
      </c>
      <c r="H17">
        <v>2</v>
      </c>
    </row>
    <row r="18" spans="1:8" x14ac:dyDescent="0.3">
      <c r="A18" s="6" t="s">
        <v>54</v>
      </c>
      <c r="B18" s="6" t="s">
        <v>118</v>
      </c>
      <c r="H18">
        <v>2</v>
      </c>
    </row>
    <row r="19" spans="1:8" x14ac:dyDescent="0.3">
      <c r="A19" s="6" t="s">
        <v>55</v>
      </c>
      <c r="B19" s="6" t="s">
        <v>119</v>
      </c>
      <c r="H19">
        <v>2</v>
      </c>
    </row>
    <row r="20" spans="1:8" x14ac:dyDescent="0.3">
      <c r="A20" s="6" t="s">
        <v>56</v>
      </c>
      <c r="B20" s="6" t="s">
        <v>120</v>
      </c>
      <c r="H20">
        <v>2</v>
      </c>
    </row>
    <row r="21" spans="1:8" x14ac:dyDescent="0.3">
      <c r="A21" s="6" t="s">
        <v>57</v>
      </c>
      <c r="B21" s="6" t="s">
        <v>121</v>
      </c>
      <c r="H21">
        <v>2</v>
      </c>
    </row>
    <row r="22" spans="1:8" x14ac:dyDescent="0.3">
      <c r="A22" s="6" t="s">
        <v>58</v>
      </c>
      <c r="B22" s="6" t="s">
        <v>122</v>
      </c>
      <c r="H22">
        <v>2</v>
      </c>
    </row>
    <row r="23" spans="1:8" x14ac:dyDescent="0.3">
      <c r="A23" s="6" t="s">
        <v>59</v>
      </c>
      <c r="B23" s="6" t="s">
        <v>123</v>
      </c>
      <c r="H23">
        <v>2</v>
      </c>
    </row>
    <row r="24" spans="1:8" x14ac:dyDescent="0.3">
      <c r="A24" s="6" t="s">
        <v>60</v>
      </c>
      <c r="B24" s="6" t="s">
        <v>124</v>
      </c>
      <c r="H24">
        <v>2</v>
      </c>
    </row>
    <row r="25" spans="1:8" x14ac:dyDescent="0.3">
      <c r="A25" s="6" t="s">
        <v>61</v>
      </c>
      <c r="B25" s="6" t="s">
        <v>125</v>
      </c>
      <c r="H25">
        <v>2</v>
      </c>
    </row>
    <row r="26" spans="1:8" x14ac:dyDescent="0.3">
      <c r="A26" s="6" t="s">
        <v>62</v>
      </c>
      <c r="B26" s="6" t="s">
        <v>126</v>
      </c>
      <c r="H26">
        <v>2</v>
      </c>
    </row>
    <row r="27" spans="1:8" x14ac:dyDescent="0.3">
      <c r="A27" s="6" t="s">
        <v>63</v>
      </c>
      <c r="B27" s="6" t="s">
        <v>127</v>
      </c>
      <c r="H27">
        <v>2</v>
      </c>
    </row>
    <row r="28" spans="1:8" x14ac:dyDescent="0.3">
      <c r="A28" s="6" t="s">
        <v>64</v>
      </c>
      <c r="B28" s="6" t="s">
        <v>128</v>
      </c>
      <c r="H28">
        <v>2</v>
      </c>
    </row>
    <row r="29" spans="1:8" x14ac:dyDescent="0.3">
      <c r="A29" s="6" t="s">
        <v>65</v>
      </c>
      <c r="B29" s="6" t="s">
        <v>129</v>
      </c>
      <c r="H29">
        <v>2</v>
      </c>
    </row>
    <row r="30" spans="1:8" x14ac:dyDescent="0.3">
      <c r="A30" s="6" t="s">
        <v>66</v>
      </c>
      <c r="B30" s="6" t="s">
        <v>130</v>
      </c>
      <c r="H30">
        <v>2</v>
      </c>
    </row>
    <row r="31" spans="1:8" x14ac:dyDescent="0.3">
      <c r="A31" s="6"/>
      <c r="B31" s="6" t="s">
        <v>131</v>
      </c>
    </row>
    <row r="32" spans="1:8" x14ac:dyDescent="0.3">
      <c r="H32">
        <f>SUM(H1:H30)</f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Sales_Data</vt:lpstr>
      <vt:lpstr>Product_Master</vt:lpstr>
      <vt:lpstr>Student_Marks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Tej Dabhi</cp:lastModifiedBy>
  <dcterms:modified xsi:type="dcterms:W3CDTF">2026-07-15T08:11:54Z</dcterms:modified>
</cp:coreProperties>
</file>