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c605b09b5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1 Orders" sheetId="1" r:id="R6534e12732a54476"/>
    <x:sheet xmlns:r="http://schemas.openxmlformats.org/officeDocument/2006/relationships" name="Task 2 Patients" sheetId="2" r:id="Re7aca293dda34bff"/>
    <x:sheet xmlns:r="http://schemas.openxmlformats.org/officeDocument/2006/relationships" name="Task 3 Movies" sheetId="3" r:id="Rb80a9edd720e4ff4"/>
    <x:sheet xmlns:r="http://schemas.openxmlformats.org/officeDocument/2006/relationships" name="Task 4 Library" sheetId="4" r:id="R13fb8e4f8350438e"/>
    <x:sheet xmlns:r="http://schemas.openxmlformats.org/officeDocument/2006/relationships" name="Task 5 Restaurant" sheetId="5" r:id="Rc05de882154d4973"/>
    <x:sheet xmlns:r="http://schemas.openxmlformats.org/officeDocument/2006/relationships" name="Task 6 Airport" sheetId="6" r:id="R3211d95730b44294"/>
    <x:sheet xmlns:r="http://schemas.openxmlformats.org/officeDocument/2006/relationships" name="Task 7 Cricket" sheetId="7" r:id="Ra59a737c951b474d"/>
    <x:sheet xmlns:r="http://schemas.openxmlformats.org/officeDocument/2006/relationships" name="Task 8 Gym" sheetId="8" r:id="R16f560c499ca4997"/>
    <x:sheet xmlns:r="http://schemas.openxmlformats.org/officeDocument/2006/relationships" name="Task 9 Courses" sheetId="9" r:id="R9fb55cef93f640b7"/>
    <x:sheet xmlns:r="http://schemas.openxmlformats.org/officeDocument/2006/relationships" name="Task 10 HR" sheetId="10" r:id="R6b2ef41295814ecf"/>
    <x:sheet xmlns:r="http://schemas.openxmlformats.org/officeDocument/2006/relationships" name="Overview" sheetId="11" r:id="Rdbe7eebc9f28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.00"/>
    <x:numFmt numFmtId="201" formatCode="dd-mmm"/>
    <x:numFmt numFmtId="202" formatCode="0.00"/>
  </x:numFmts>
  <x:fonts count="4">
    <x:font>
      <x:sz val="11"/>
      <x:name val="Carlito"/>
    </x:font>
    <x:font>
      <x:b/>
      <x:sz val="16"/>
      <x:color rgb="FF17365D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4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22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4" borderId="4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5" xfId="0" applyNumberFormat="1" applyFont="1" applyFill="1" applyBorder="1" applyAlignment="1">
      <x:alignment horizontal="center"/>
    </x:xf>
    <x:xf numFmtId="0" fontId="2" fillId="4" borderId="6" xfId="0" applyNumberFormat="1" applyFont="1" applyFill="1" applyBorder="1" applyAlignment="1">
      <x:alignment horizontal="center"/>
    </x:xf>
    <x:xf numFmtId="0" fontId="2" fillId="4" borderId="7" xfId="0" applyNumberFormat="1" applyFont="1" applyFill="1" applyBorder="1" applyAlignment="1">
      <x:alignment horizontal="center"/>
    </x:xf>
  </x:cellXfs>
  <x:cellStyles count="1">
    <x:cellStyle name="Normal" xfId="0"/>
  </x:cellStyles>
  <x:dxfs count="11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351C75"/>
      </x:font>
      <x:fill>
        <x:patternFill patternType="solid">
          <x:bgColor rgb="FFD9D2E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3e08d06d44ae1" /><Relationship Type="http://schemas.openxmlformats.org/officeDocument/2006/relationships/theme" Target="/xl/theme/theme1.xml" Id="Rb48b26e1069f493a" /><Relationship Type="http://schemas.openxmlformats.org/officeDocument/2006/relationships/sharedStrings" Target="/xl/sharedStrings.xml" Id="Rdf4165c84bf54686" /><Relationship Type="http://schemas.openxmlformats.org/officeDocument/2006/relationships/worksheet" Target="/xl/worksheets/sheet1.xml" Id="R6534e12732a54476" /><Relationship Type="http://schemas.openxmlformats.org/officeDocument/2006/relationships/worksheet" Target="/xl/worksheets/sheet2.xml" Id="Re7aca293dda34bff" /><Relationship Type="http://schemas.openxmlformats.org/officeDocument/2006/relationships/worksheet" Target="/xl/worksheets/sheet3.xml" Id="Rb80a9edd720e4ff4" /><Relationship Type="http://schemas.openxmlformats.org/officeDocument/2006/relationships/worksheet" Target="/xl/worksheets/sheet4.xml" Id="R13fb8e4f8350438e" /><Relationship Type="http://schemas.openxmlformats.org/officeDocument/2006/relationships/worksheet" Target="/xl/worksheets/sheet5.xml" Id="Rc05de882154d4973" /><Relationship Type="http://schemas.openxmlformats.org/officeDocument/2006/relationships/worksheet" Target="/xl/worksheets/sheet6.xml" Id="R3211d95730b44294" /><Relationship Type="http://schemas.openxmlformats.org/officeDocument/2006/relationships/worksheet" Target="/xl/worksheets/sheet7.xml" Id="Ra59a737c951b474d" /><Relationship Type="http://schemas.openxmlformats.org/officeDocument/2006/relationships/worksheet" Target="/xl/worksheets/sheet8.xml" Id="R16f560c499ca4997" /><Relationship Type="http://schemas.openxmlformats.org/officeDocument/2006/relationships/worksheet" Target="/xl/worksheets/sheet9.xml" Id="R9fb55cef93f640b7" /><Relationship Type="http://schemas.openxmlformats.org/officeDocument/2006/relationships/worksheet" Target="/xl/worksheets/sheet10.xml" Id="R6b2ef41295814ecf" /><Relationship Type="http://schemas.openxmlformats.org/officeDocument/2006/relationships/worksheet" Target="/xl/worksheets/sheet11.xml" Id="Rdbe7eebc9f2844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.130000114440918" hidden="0" customWidth="1"/>
  </x:cols>
  <x:sheetData>
    <x:row r="1" ht="28" customHeight="1">
      <x:c r="A1" s="5" t="str">
        <x:v>Task 1: E-Commerce Order Sheet</x:v>
      </x:c>
      <x:c r="B1" s="5"/>
      <x:c r="C1" s="5"/>
      <x:c r="D1" s="5"/>
      <x:c r="E1" s="5"/>
      <x:c r="F1" s="5"/>
      <x:c r="G1" s="5"/>
      <x:c r="H1" s="5"/>
    </x:row>
    <x:row r="3" ht="24" customHeight="1">
      <x:c r="A3" s="21" t="str">
        <x:v>Order ID</x:v>
      </x:c>
      <x:c r="B3" s="22" t="str">
        <x:v>Customer</x:v>
      </x:c>
      <x:c r="C3" s="22" t="str">
        <x:v>Product</x:v>
      </x:c>
      <x:c r="D3" s="22" t="str">
        <x:v>Qty</x:v>
      </x:c>
      <x:c r="E3" s="22" t="str">
        <x:v>Unit Price</x:v>
      </x:c>
      <x:c r="F3" s="22" t="str">
        <x:v>Status</x:v>
      </x:c>
      <x:c r="G3" s="22" t="str">
        <x:v>Total Amount</x:v>
      </x:c>
      <x:c r="H3" s="23" t="str">
        <x:v>Order Category</x:v>
      </x:c>
    </x:row>
    <x:row r="4">
      <x:c r="A4" s="55" t="str">
        <x:v>O101</x:v>
      </x:c>
      <x:c r="B4" s="56" t="str">
        <x:v>Amit</x:v>
      </x:c>
      <x:c r="C4" s="56" t="str">
        <x:v>Laptop</x:v>
      </x:c>
      <x:c r="D4" s="56" t="n">
        <x:v>2</x:v>
      </x:c>
      <x:c r="E4" s="73" t="n">
        <x:v>45000</x:v>
      </x:c>
      <x:c r="F4" s="56" t="str">
        <x:v>Delivered</x:v>
      </x:c>
      <x:c r="G4" s="73" t="n">
        <x:f>D4*E4</x:f>
        <x:v>90000</x:v>
      </x:c>
      <x:c r="H4" s="57" t="str">
        <x:f>IF(G4&gt;50000,"High Value","Normal")</x:f>
        <x:v>High Value</x:v>
      </x:c>
    </x:row>
    <x:row r="5">
      <x:c r="A5" s="58" t="str">
        <x:v>O102</x:v>
      </x:c>
      <x:c r="B5" s="59" t="str">
        <x:v>Neha</x:v>
      </x:c>
      <x:c r="C5" s="59" t="str">
        <x:v>Mouse</x:v>
      </x:c>
      <x:c r="D5" s="59" t="n">
        <x:v>5</x:v>
      </x:c>
      <x:c r="E5" s="74" t="n">
        <x:v>700</x:v>
      </x:c>
      <x:c r="F5" s="59" t="str">
        <x:v>Pending</x:v>
      </x:c>
      <x:c r="G5" s="74" t="n">
        <x:f>D5*E5</x:f>
        <x:v>3500</x:v>
      </x:c>
      <x:c r="H5" s="60" t="str">
        <x:f>IF(G5&gt;50000,"High Value","Normal")</x:f>
        <x:v>Normal</x:v>
      </x:c>
    </x:row>
    <x:row r="6">
      <x:c r="A6" s="58" t="str">
        <x:v>O103</x:v>
      </x:c>
      <x:c r="B6" s="59" t="str">
        <x:v>Ravi</x:v>
      </x:c>
      <x:c r="C6" s="59" t="str">
        <x:v>Keyboard</x:v>
      </x:c>
      <x:c r="D6" s="59" t="n">
        <x:v>3</x:v>
      </x:c>
      <x:c r="E6" s="74" t="n">
        <x:v>1500</x:v>
      </x:c>
      <x:c r="F6" s="59" t="str">
        <x:v>Delivered</x:v>
      </x:c>
      <x:c r="G6" s="74" t="n">
        <x:f>D6*E6</x:f>
        <x:v>4500</x:v>
      </x:c>
      <x:c r="H6" s="60" t="str">
        <x:f>IF(G6&gt;50000,"High Value","Normal")</x:f>
        <x:v>Normal</x:v>
      </x:c>
    </x:row>
    <x:row r="7">
      <x:c r="A7" s="61" t="str">
        <x:v>O104</x:v>
      </x:c>
      <x:c r="B7" s="62" t="str">
        <x:v>Priya</x:v>
      </x:c>
      <x:c r="C7" s="62" t="str">
        <x:v>Monitor</x:v>
      </x:c>
      <x:c r="D7" s="62" t="n">
        <x:v>1</x:v>
      </x:c>
      <x:c r="E7" s="75" t="n">
        <x:v>18000</x:v>
      </x:c>
      <x:c r="F7" s="62" t="str">
        <x:v>Cancelled</x:v>
      </x:c>
      <x:c r="G7" s="75" t="n">
        <x:f>D7*E7</x:f>
        <x:v>18000</x:v>
      </x:c>
      <x:c r="H7" s="63" t="str">
        <x:f>IF(G7&gt;50000,"High Value","Normal")</x:f>
        <x:v>Normal</x:v>
      </x:c>
    </x:row>
  </x:sheetData>
  <x:mergeCells>
    <x:mergeCell ref="A1:H1"/>
  </x:mergeCells>
  <x:conditionalFormatting sqref="A4:H7">
    <x:cfRule type="expression" dxfId="0" priority="1">
      <x:formula>$F4="Cancelled"</x:formula>
    </x:cfRule>
    <x:cfRule type="expression" dxfId="1" priority="2">
      <x:formula>$G4&gt;50000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5" t="str">
        <x:v>Task 2: Hospital Patient Register</x:v>
      </x:c>
      <x:c r="B1" s="5"/>
      <x:c r="C1" s="5"/>
      <x:c r="D1" s="5"/>
      <x:c r="E1" s="5"/>
      <x:c r="F1" s="5"/>
    </x:row>
    <x:row r="3" ht="24" customHeight="1">
      <x:c r="A3" s="21" t="str">
        <x:v>Patient ID</x:v>
      </x:c>
      <x:c r="B3" s="22" t="str">
        <x:v>Name</x:v>
      </x:c>
      <x:c r="C3" s="22" t="str">
        <x:v>Age</x:v>
      </x:c>
      <x:c r="D3" s="22" t="str">
        <x:v>Gender</x:v>
      </x:c>
      <x:c r="E3" s="22" t="str">
        <x:v>Blood Group</x:v>
      </x:c>
      <x:c r="F3" s="23" t="str">
        <x:v>Age Category</x:v>
      </x:c>
    </x:row>
    <x:row r="4">
      <x:c r="A4" s="55" t="str">
        <x:v>P101</x:v>
      </x:c>
      <x:c r="B4" s="56" t="str">
        <x:f>PROPER("rahul")</x:f>
        <x:v>Rahul</x:v>
      </x:c>
      <x:c r="C4" s="56" t="n">
        <x:v>25</x:v>
      </x:c>
      <x:c r="D4" s="56" t="str">
        <x:v>Male</x:v>
      </x:c>
      <x:c r="E4" s="56" t="str">
        <x:v>A+</x:v>
      </x:c>
      <x:c r="F4" s="57" t="str">
        <x:f>IF(C4&lt;18,"Minor",IF(C4&gt;=60,"Senior Citizen","Adult"))</x:f>
        <x:v>Adult</x:v>
      </x:c>
    </x:row>
    <x:row r="5">
      <x:c r="A5" s="58" t="str">
        <x:v>P102</x:v>
      </x:c>
      <x:c r="B5" s="59" t="str">
        <x:f>PROPER("sneha")</x:f>
        <x:v>Sneha</x:v>
      </x:c>
      <x:c r="C5" s="59" t="n">
        <x:v>62</x:v>
      </x:c>
      <x:c r="D5" s="59" t="str">
        <x:v>Female</x:v>
      </x:c>
      <x:c r="E5" s="59" t="str">
        <x:v>O-</x:v>
      </x:c>
      <x:c r="F5" s="60" t="str">
        <x:f>IF(C5&lt;18,"Minor",IF(C5&gt;=60,"Senior Citizen","Adult"))</x:f>
        <x:v>Senior Citizen</x:v>
      </x:c>
    </x:row>
    <x:row r="6">
      <x:c r="A6" s="58" t="str">
        <x:v>P103</x:v>
      </x:c>
      <x:c r="B6" s="59" t="str">
        <x:f>PROPER("ravi")</x:f>
        <x:v>Ravi</x:v>
      </x:c>
      <x:c r="C6" s="59" t="n">
        <x:v>70</x:v>
      </x:c>
      <x:c r="D6" s="59" t="str">
        <x:v>Male</x:v>
      </x:c>
      <x:c r="E6" s="59" t="str">
        <x:v>B+</x:v>
      </x:c>
      <x:c r="F6" s="60" t="str">
        <x:f>IF(C6&lt;18,"Minor",IF(C6&gt;=60,"Senior Citizen","Adult"))</x:f>
        <x:v>Senior Citizen</x:v>
      </x:c>
    </x:row>
    <x:row r="7">
      <x:c r="A7" s="61" t="str">
        <x:v>P104</x:v>
      </x:c>
      <x:c r="B7" s="62" t="str">
        <x:f>PROPER("meera")</x:f>
        <x:v>Meera</x:v>
      </x:c>
      <x:c r="C7" s="62" t="n">
        <x:v>15</x:v>
      </x:c>
      <x:c r="D7" s="62" t="str">
        <x:v>Female</x:v>
      </x:c>
      <x:c r="E7" s="62" t="str">
        <x:v>AB+</x:v>
      </x:c>
      <x:c r="F7" s="63" t="str">
        <x:f>IF(C7&lt;18,"Minor",IF(C7&gt;=60,"Senior Citizen","Adult"))</x:f>
        <x:v>Minor</x:v>
      </x:c>
    </x:row>
  </x:sheetData>
  <x:mergeCells>
    <x:mergeCell ref="A1:F1"/>
  </x:mergeCells>
  <x:conditionalFormatting sqref="A4:F7">
    <x:cfRule type="expression" dxfId="2" priority="1">
      <x:formula>$C4&gt;60</x:formula>
    </x:cfRule>
    <x:cfRule type="expression" dxfId="3" priority="2">
      <x:formula>$C4&lt;18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8" customHeight="1">
      <x:c r="A1" s="5" t="str">
        <x:v>Task 3: Movie Booking System</x:v>
      </x:c>
      <x:c r="B1" s="5"/>
      <x:c r="C1" s="5"/>
      <x:c r="D1" s="5"/>
      <x:c r="E1" s="5"/>
      <x:c r="F1" s="5"/>
      <x:c r="G1" s="5"/>
    </x:row>
    <x:row r="3" ht="24" customHeight="1">
      <x:c r="A3" s="21" t="str">
        <x:v>Customer</x:v>
      </x:c>
      <x:c r="B3" s="22" t="str">
        <x:v>Movie</x:v>
      </x:c>
      <x:c r="C3" s="22" t="str">
        <x:v>Seats</x:v>
      </x:c>
      <x:c r="D3" s="22" t="str">
        <x:v>Ticket Price</x:v>
      </x:c>
      <x:c r="E3" s="22" t="str">
        <x:v>Total Bill</x:v>
      </x:c>
      <x:c r="F3" s="22" t="str">
        <x:v>Booking Status</x:v>
      </x:c>
      <x:c r="G3" s="23" t="str">
        <x:v>Booking ID</x:v>
      </x:c>
    </x:row>
    <x:row r="4">
      <x:c r="A4" s="55" t="str">
        <x:v>Amit</x:v>
      </x:c>
      <x:c r="B4" s="56" t="str">
        <x:v>Avengers</x:v>
      </x:c>
      <x:c r="C4" s="56" t="n">
        <x:v>2</x:v>
      </x:c>
      <x:c r="D4" s="73" t="n">
        <x:v>350</x:v>
      </x:c>
      <x:c r="E4" s="73" t="n">
        <x:f>C4*D4</x:f>
        <x:v>700</x:v>
      </x:c>
      <x:c r="F4" s="56" t="str">
        <x:f>IF(E4&gt;1000,"Discount Eligible","Regular Booking")</x:f>
        <x:v>Regular Booking</x:v>
      </x:c>
      <x:c r="G4" s="57" t="str">
        <x:f>UPPER(LEFT(A4,2))&amp;"-"&amp;C4</x:f>
        <x:v>AM-2</x:v>
      </x:c>
    </x:row>
    <x:row r="5">
      <x:c r="A5" s="58" t="str">
        <x:v>Ravi</x:v>
      </x:c>
      <x:c r="B5" s="59" t="str">
        <x:v>Superman</x:v>
      </x:c>
      <x:c r="C5" s="59" t="n">
        <x:v>5</x:v>
      </x:c>
      <x:c r="D5" s="74" t="n">
        <x:v>280</x:v>
      </x:c>
      <x:c r="E5" s="74" t="n">
        <x:f>C5*D5</x:f>
        <x:v>1400</x:v>
      </x:c>
      <x:c r="F5" s="59" t="str">
        <x:f>IF(E5&gt;1000,"Discount Eligible","Regular Booking")</x:f>
        <x:v>Discount Eligible</x:v>
      </x:c>
      <x:c r="G5" s="60" t="str">
        <x:f>UPPER(LEFT(A5,2))&amp;"-"&amp;C5</x:f>
        <x:v>RA-5</x:v>
      </x:c>
    </x:row>
    <x:row r="6">
      <x:c r="A6" s="58" t="str">
        <x:v>Neha</x:v>
      </x:c>
      <x:c r="B6" s="59" t="str">
        <x:v>Avatar</x:v>
      </x:c>
      <x:c r="C6" s="59" t="n">
        <x:v>3</x:v>
      </x:c>
      <x:c r="D6" s="74" t="n">
        <x:v>400</x:v>
      </x:c>
      <x:c r="E6" s="74" t="n">
        <x:f>C6*D6</x:f>
        <x:v>1200</x:v>
      </x:c>
      <x:c r="F6" s="59" t="str">
        <x:f>IF(E6&gt;1000,"Discount Eligible","Regular Booking")</x:f>
        <x:v>Discount Eligible</x:v>
      </x:c>
      <x:c r="G6" s="60" t="str">
        <x:f>UPPER(LEFT(A6,2))&amp;"-"&amp;C6</x:f>
        <x:v>NE-3</x:v>
      </x:c>
    </x:row>
    <x:row r="7">
      <x:c r="A7" s="61" t="str">
        <x:v>Priya</x:v>
      </x:c>
      <x:c r="B7" s="62" t="str">
        <x:v>Jurassic World</x:v>
      </x:c>
      <x:c r="C7" s="62" t="n">
        <x:v>1</x:v>
      </x:c>
      <x:c r="D7" s="75" t="n">
        <x:v>500</x:v>
      </x:c>
      <x:c r="E7" s="75" t="n">
        <x:f>C7*D7</x:f>
        <x:v>500</x:v>
      </x:c>
      <x:c r="F7" s="62" t="str">
        <x:f>IF(E7&gt;1000,"Discount Eligible","Regular Booking")</x:f>
        <x:v>Regular Booking</x:v>
      </x:c>
      <x:c r="G7" s="63" t="str">
        <x:f>UPPER(LEFT(A7,2))&amp;"-"&amp;C7</x:f>
        <x:v>PR-1</x:v>
      </x:c>
    </x:row>
  </x:sheetData>
  <x:mergeCells>
    <x:mergeCell ref="A1:G1"/>
  </x:mergeCells>
  <x:conditionalFormatting sqref="A4:G7">
    <x:cfRule type="expression" dxfId="4" priority="1">
      <x:formula>$E4&gt;1000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25" hidden="0" customWidth="1"/>
    <x:col min="2" max="2" width="16.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5" t="str">
        <x:v>Task 4: School Library</x:v>
      </x:c>
      <x:c r="B1" s="5"/>
      <x:c r="C1" s="5"/>
      <x:c r="D1" s="5"/>
      <x:c r="E1" s="5"/>
      <x:c r="F1" s="5"/>
      <x:c r="G1" s="5"/>
      <x:c r="H1" s="5"/>
    </x:row>
    <x:row r="3" ht="24" customHeight="1">
      <x:c r="A3" s="21" t="str">
        <x:v>Book ID</x:v>
      </x:c>
      <x:c r="B3" s="22" t="str">
        <x:v>Book Name</x:v>
      </x:c>
      <x:c r="C3" s="22" t="str">
        <x:v>Issue Date</x:v>
      </x:c>
      <x:c r="D3" s="22" t="str">
        <x:v>Return Date</x:v>
      </x:c>
      <x:c r="E3" s="22" t="str">
        <x:v>Days Taken</x:v>
      </x:c>
      <x:c r="F3" s="22" t="str">
        <x:v>Return Status</x:v>
      </x:c>
      <x:c r="G3" s="22" t="str">
        <x:v>First Word</x:v>
      </x:c>
      <x:c r="H3" s="23" t="str">
        <x:v>Library Code</x:v>
      </x:c>
    </x:row>
    <x:row r="4">
      <x:c r="A4" s="55" t="str">
        <x:v>B101</x:v>
      </x:c>
      <x:c r="B4" s="56" t="str">
        <x:v>Python Programming</x:v>
      </x:c>
      <x:c r="C4" s="79" t="n">
        <x:v>46204</x:v>
      </x:c>
      <x:c r="D4" s="79" t="n">
        <x:v>46211</x:v>
      </x:c>
      <x:c r="E4" s="56" t="n">
        <x:f>D4-C4</x:f>
        <x:v>7</x:v>
      </x:c>
      <x:c r="F4" s="56" t="str">
        <x:f>IF(E4&gt;7,"Late Return","Returned On Time")</x:f>
        <x:v>Returned On Time</x:v>
      </x:c>
      <x:c r="G4" s="56" t="str">
        <x:f>LEFT(B4,FIND(" ",B4&amp;" ")-1)</x:f>
        <x:v>Python</x:v>
      </x:c>
      <x:c r="H4" s="57" t="str">
        <x:f>A4&amp;"-"&amp;G4</x:f>
        <x:v>B101-Python</x:v>
      </x:c>
    </x:row>
    <x:row r="5">
      <x:c r="A5" s="58" t="str">
        <x:v>B102</x:v>
      </x:c>
      <x:c r="B5" s="59" t="str">
        <x:v>Java Basics</x:v>
      </x:c>
      <x:c r="C5" s="80" t="n">
        <x:v>46205</x:v>
      </x:c>
      <x:c r="D5" s="80" t="n">
        <x:v>46221</x:v>
      </x:c>
      <x:c r="E5" s="59" t="n">
        <x:f>D5-C5</x:f>
        <x:v>16</x:v>
      </x:c>
      <x:c r="F5" s="59" t="str">
        <x:f>IF(E5&gt;7,"Late Return","Returned On Time")</x:f>
        <x:v>Late Return</x:v>
      </x:c>
      <x:c r="G5" s="59" t="str">
        <x:f>LEFT(B5,FIND(" ",B5&amp;" ")-1)</x:f>
        <x:v>Java</x:v>
      </x:c>
      <x:c r="H5" s="60" t="str">
        <x:f>A5&amp;"-"&amp;G5</x:f>
        <x:v>B102-Java</x:v>
      </x:c>
    </x:row>
    <x:row r="6">
      <x:c r="A6" s="61" t="str">
        <x:v>B103</x:v>
      </x:c>
      <x:c r="B6" s="62" t="str">
        <x:v>SQL Guide</x:v>
      </x:c>
      <x:c r="C6" s="81" t="n">
        <x:v>46208</x:v>
      </x:c>
      <x:c r="D6" s="81" t="n">
        <x:v>46215</x:v>
      </x:c>
      <x:c r="E6" s="62" t="n">
        <x:f>D6-C6</x:f>
        <x:v>7</x:v>
      </x:c>
      <x:c r="F6" s="62" t="str">
        <x:f>IF(E6&gt;7,"Late Return","Returned On Time")</x:f>
        <x:v>Returned On Time</x:v>
      </x:c>
      <x:c r="G6" s="62" t="str">
        <x:f>LEFT(B6,FIND(" ",B6&amp;" ")-1)</x:f>
        <x:v>SQL</x:v>
      </x:c>
      <x:c r="H6" s="63" t="str">
        <x:f>A6&amp;"-"&amp;G6</x:f>
        <x:v>B103-SQL</x:v>
      </x:c>
    </x:row>
  </x:sheetData>
  <x:mergeCells>
    <x:mergeCell ref="A1:H1"/>
  </x:mergeCells>
  <x:conditionalFormatting sqref="A4:H6">
    <x:cfRule type="expression" dxfId="5" priority="1">
      <x:formula>$E4&gt;7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.630000114440918" hidden="0" customWidth="1"/>
  </x:cols>
  <x:sheetData>
    <x:row r="1" ht="28" customHeight="1">
      <x:c r="A1" s="5" t="str">
        <x:v>Task 5: Restaurant Billing</x:v>
      </x:c>
      <x:c r="B1" s="5"/>
      <x:c r="C1" s="5"/>
      <x:c r="D1" s="5"/>
      <x:c r="E1" s="5"/>
      <x:c r="F1" s="5"/>
      <x:c r="G1" s="5"/>
    </x:row>
    <x:row r="3" ht="24" customHeight="1">
      <x:c r="A3" s="21" t="str">
        <x:v>Table</x:v>
      </x:c>
      <x:c r="B3" s="22" t="str">
        <x:v>Customer</x:v>
      </x:c>
      <x:c r="C3" s="22" t="str">
        <x:v>Food Item</x:v>
      </x:c>
      <x:c r="D3" s="22" t="str">
        <x:v>Qty</x:v>
      </x:c>
      <x:c r="E3" s="22" t="str">
        <x:v>Price</x:v>
      </x:c>
      <x:c r="F3" s="22" t="str">
        <x:v>Total Bill</x:v>
      </x:c>
      <x:c r="G3" s="23" t="str">
        <x:v>Invoice Number</x:v>
      </x:c>
    </x:row>
    <x:row r="4">
      <x:c r="A4" s="55" t="str">
        <x:v>T1</x:v>
      </x:c>
      <x:c r="B4" s="56" t="str">
        <x:v>Amit</x:v>
      </x:c>
      <x:c r="C4" s="56" t="str">
        <x:f>UPPER("Pizza")</x:f>
        <x:v>PIZZA</x:v>
      </x:c>
      <x:c r="D4" s="56" t="n">
        <x:v>2</x:v>
      </x:c>
      <x:c r="E4" s="73" t="n">
        <x:v>350</x:v>
      </x:c>
      <x:c r="F4" s="73" t="n">
        <x:f>D4*E4</x:f>
        <x:v>700</x:v>
      </x:c>
      <x:c r="G4" s="57" t="str">
        <x:f>A4&amp;"-"&amp;UPPER(B4)</x:f>
        <x:v>T1-AMIT</x:v>
      </x:c>
    </x:row>
    <x:row r="5">
      <x:c r="A5" s="58" t="str">
        <x:v>T2</x:v>
      </x:c>
      <x:c r="B5" s="59" t="str">
        <x:v>Ravi</x:v>
      </x:c>
      <x:c r="C5" s="59" t="str">
        <x:f>UPPER("Burger")</x:f>
        <x:v>BURGER</x:v>
      </x:c>
      <x:c r="D5" s="59" t="n">
        <x:v>3</x:v>
      </x:c>
      <x:c r="E5" s="74" t="n">
        <x:v>180</x:v>
      </x:c>
      <x:c r="F5" s="74" t="n">
        <x:f>D5*E5</x:f>
        <x:v>540</x:v>
      </x:c>
      <x:c r="G5" s="60" t="str">
        <x:f>A5&amp;"-"&amp;UPPER(B5)</x:f>
        <x:v>T2-RAVI</x:v>
      </x:c>
    </x:row>
    <x:row r="6">
      <x:c r="A6" s="58" t="str">
        <x:v>T3</x:v>
      </x:c>
      <x:c r="B6" s="59" t="str">
        <x:v>Priya</x:v>
      </x:c>
      <x:c r="C6" s="59" t="str">
        <x:f>UPPER("Pasta")</x:f>
        <x:v>PASTA</x:v>
      </x:c>
      <x:c r="D6" s="59" t="n">
        <x:v>1</x:v>
      </x:c>
      <x:c r="E6" s="74" t="n">
        <x:v>280</x:v>
      </x:c>
      <x:c r="F6" s="74" t="n">
        <x:f>D6*E6</x:f>
        <x:v>280</x:v>
      </x:c>
      <x:c r="G6" s="60" t="str">
        <x:f>A6&amp;"-"&amp;UPPER(B6)</x:f>
        <x:v>T3-PRIYA</x:v>
      </x:c>
    </x:row>
    <x:row r="7">
      <x:c r="A7" s="61" t="str">
        <x:v>T4</x:v>
      </x:c>
      <x:c r="B7" s="62" t="str">
        <x:v>Neha</x:v>
      </x:c>
      <x:c r="C7" s="62" t="str">
        <x:f>UPPER("Pizza")</x:f>
        <x:v>PIZZA</x:v>
      </x:c>
      <x:c r="D7" s="62" t="n">
        <x:v>4</x:v>
      </x:c>
      <x:c r="E7" s="75" t="n">
        <x:v>350</x:v>
      </x:c>
      <x:c r="F7" s="75" t="n">
        <x:f>D7*E7</x:f>
        <x:v>1400</x:v>
      </x:c>
      <x:c r="G7" s="63" t="str">
        <x:f>A7&amp;"-"&amp;UPPER(B7)</x:f>
        <x:v>T4-NEHA</x:v>
      </x:c>
    </x:row>
  </x:sheetData>
  <x:mergeCells>
    <x:mergeCell ref="A1:G1"/>
  </x:mergeCells>
  <x:conditionalFormatting sqref="A4:G7">
    <x:cfRule type="expression" dxfId="6" priority="1">
      <x:formula>$F4&gt;1000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5" t="str">
        <x:v>Task 6: Airport Passenger List</x:v>
      </x:c>
      <x:c r="B1" s="5"/>
      <x:c r="C1" s="5"/>
      <x:c r="D1" s="5"/>
      <x:c r="E1" s="5"/>
      <x:c r="F1" s="5"/>
      <x:c r="G1" s="5"/>
      <x:c r="H1" s="5"/>
    </x:row>
    <x:row r="3" ht="24" customHeight="1">
      <x:c r="A3" s="21" t="str">
        <x:v>Passenger</x:v>
      </x:c>
      <x:c r="B3" s="22" t="str">
        <x:v>Passport No</x:v>
      </x:c>
      <x:c r="C3" s="22" t="str">
        <x:v>Destination</x:v>
      </x:c>
      <x:c r="D3" s="22" t="str">
        <x:v>First Name</x:v>
      </x:c>
      <x:c r="E3" s="22" t="str">
        <x:v>Last Name</x:v>
      </x:c>
      <x:c r="F3" s="22" t="str">
        <x:v>Email ID</x:v>
      </x:c>
      <x:c r="G3" s="22" t="str">
        <x:v>Passport Prefix</x:v>
      </x:c>
      <x:c r="H3" s="23" t="str">
        <x:v>Boarding Code</x:v>
      </x:c>
    </x:row>
    <x:row r="4">
      <x:c r="A4" s="55" t="str">
        <x:v>Amit Shah</x:v>
      </x:c>
      <x:c r="B4" s="56" t="str">
        <x:v>M123456</x:v>
      </x:c>
      <x:c r="C4" s="56" t="str">
        <x:v>Dubai</x:v>
      </x:c>
      <x:c r="D4" s="56" t="str">
        <x:f>LEFT(A4,FIND(" ",A4)-1)</x:f>
        <x:v>Amit</x:v>
      </x:c>
      <x:c r="E4" s="56" t="str">
        <x:f>RIGHT(A4,LEN(A4)-FIND(" ",A4))</x:f>
        <x:v>Shah</x:v>
      </x:c>
      <x:c r="F4" s="56" t="str">
        <x:f>LOWER(D4&amp;"."&amp;E4&amp;"@airport.com")</x:f>
        <x:v>amit.shah@airport.com</x:v>
      </x:c>
      <x:c r="G4" s="56" t="str">
        <x:f>LEFT(B4,1)</x:f>
        <x:v>M</x:v>
      </x:c>
      <x:c r="H4" s="57" t="str">
        <x:f>UPPER(LEFT(C4,3))&amp;"-"&amp;B4</x:f>
        <x:v>DUB-M123456</x:v>
      </x:c>
    </x:row>
    <x:row r="5">
      <x:c r="A5" s="58" t="str">
        <x:v>Ravi Patel</x:v>
      </x:c>
      <x:c r="B5" s="59" t="str">
        <x:v>N654321</x:v>
      </x:c>
      <x:c r="C5" s="59" t="str">
        <x:v>Singapore</x:v>
      </x:c>
      <x:c r="D5" s="59" t="str">
        <x:f>LEFT(A5,FIND(" ",A5)-1)</x:f>
        <x:v>Ravi</x:v>
      </x:c>
      <x:c r="E5" s="59" t="str">
        <x:f>RIGHT(A5,LEN(A5)-FIND(" ",A5))</x:f>
        <x:v>Patel</x:v>
      </x:c>
      <x:c r="F5" s="59" t="str">
        <x:f>LOWER(D5&amp;"."&amp;E5&amp;"@airport.com")</x:f>
        <x:v>ravi.patel@airport.com</x:v>
      </x:c>
      <x:c r="G5" s="59" t="str">
        <x:f>LEFT(B5,1)</x:f>
        <x:v>N</x:v>
      </x:c>
      <x:c r="H5" s="60" t="str">
        <x:f>UPPER(LEFT(C5,3))&amp;"-"&amp;B5</x:f>
        <x:v>SIN-N654321</x:v>
      </x:c>
    </x:row>
    <x:row r="6">
      <x:c r="A6" s="61" t="str">
        <x:v>Neha Joshi</x:v>
      </x:c>
      <x:c r="B6" s="62" t="str">
        <x:v>P987654</x:v>
      </x:c>
      <x:c r="C6" s="62" t="str">
        <x:v>London</x:v>
      </x:c>
      <x:c r="D6" s="62" t="str">
        <x:f>LEFT(A6,FIND(" ",A6)-1)</x:f>
        <x:v>Neha</x:v>
      </x:c>
      <x:c r="E6" s="62" t="str">
        <x:f>RIGHT(A6,LEN(A6)-FIND(" ",A6))</x:f>
        <x:v>Joshi</x:v>
      </x:c>
      <x:c r="F6" s="62" t="str">
        <x:f>LOWER(D6&amp;"."&amp;E6&amp;"@airport.com")</x:f>
        <x:v>neha.joshi@airport.com</x:v>
      </x:c>
      <x:c r="G6" s="62" t="str">
        <x:f>LEFT(B6,1)</x:f>
        <x:v>P</x:v>
      </x:c>
      <x:c r="H6" s="63" t="str">
        <x:f>UPPER(LEFT(C6,3))&amp;"-"&amp;B6</x:f>
        <x:v>LON-P987654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6.5" hidden="0" customWidth="1"/>
    <x:col min="5" max="5" width="12" hidden="0" customWidth="1"/>
    <x:col min="6" max="6" width="12" hidden="0" customWidth="1"/>
  </x:cols>
  <x:sheetData>
    <x:row r="1" ht="28" customHeight="1">
      <x:c r="A1" s="5" t="str">
        <x:v>Task 7: Cricket Tournament</x:v>
      </x:c>
      <x:c r="B1" s="5"/>
      <x:c r="C1" s="5"/>
      <x:c r="D1" s="5"/>
      <x:c r="E1" s="5"/>
      <x:c r="F1" s="5"/>
    </x:row>
    <x:row r="3" ht="24" customHeight="1">
      <x:c r="A3" s="21" t="str">
        <x:v>Player</x:v>
      </x:c>
      <x:c r="B3" s="22" t="str">
        <x:v>Runs</x:v>
      </x:c>
      <x:c r="C3" s="22" t="str">
        <x:v>Matches</x:v>
      </x:c>
      <x:c r="D3" s="22" t="str">
        <x:v>Average Runs/Match</x:v>
      </x:c>
      <x:c r="E3" s="22" t="str">
        <x:v>Performance</x:v>
      </x:c>
      <x:c r="F3" s="23" t="str">
        <x:v>Player Code</x:v>
      </x:c>
    </x:row>
    <x:row r="4">
      <x:c r="A4" s="55" t="str">
        <x:v>Virat</x:v>
      </x:c>
      <x:c r="B4" s="56" t="n">
        <x:v>450</x:v>
      </x:c>
      <x:c r="C4" s="56" t="n">
        <x:v>8</x:v>
      </x:c>
      <x:c r="D4" s="85" t="n">
        <x:f>B4/C4</x:f>
        <x:v>56.25</x:v>
      </x:c>
      <x:c r="E4" s="56" t="str">
        <x:f>IF(D4&gt;=60,"Excellent",IF(D4&gt;=40,"Good","Needs Practice"))</x:f>
        <x:v>Good</x:v>
      </x:c>
      <x:c r="F4" s="57" t="str">
        <x:f>UPPER(LEFT(A4,3))</x:f>
        <x:v>VIR</x:v>
      </x:c>
    </x:row>
    <x:row r="5">
      <x:c r="A5" s="58" t="str">
        <x:v>Rohit</x:v>
      </x:c>
      <x:c r="B5" s="59" t="n">
        <x:v>320</x:v>
      </x:c>
      <x:c r="C5" s="59" t="n">
        <x:v>7</x:v>
      </x:c>
      <x:c r="D5" s="86" t="n">
        <x:f>B5/C5</x:f>
        <x:v>45.714285714285715</x:v>
      </x:c>
      <x:c r="E5" s="59" t="str">
        <x:f>IF(D5&gt;=60,"Excellent",IF(D5&gt;=40,"Good","Needs Practice"))</x:f>
        <x:v>Good</x:v>
      </x:c>
      <x:c r="F5" s="60" t="str">
        <x:f>UPPER(LEFT(A5,3))</x:f>
        <x:v>ROH</x:v>
      </x:c>
    </x:row>
    <x:row r="6">
      <x:c r="A6" s="58" t="str">
        <x:v>Gill</x:v>
      </x:c>
      <x:c r="B6" s="59" t="n">
        <x:v>520</x:v>
      </x:c>
      <x:c r="C6" s="59" t="n">
        <x:v>9</x:v>
      </x:c>
      <x:c r="D6" s="86" t="n">
        <x:f>B6/C6</x:f>
        <x:v>57.77777777777778</x:v>
      </x:c>
      <x:c r="E6" s="59" t="str">
        <x:f>IF(D6&gt;=60,"Excellent",IF(D6&gt;=40,"Good","Needs Practice"))</x:f>
        <x:v>Good</x:v>
      </x:c>
      <x:c r="F6" s="60" t="str">
        <x:f>UPPER(LEFT(A6,3))</x:f>
        <x:v>GIL</x:v>
      </x:c>
    </x:row>
    <x:row r="7">
      <x:c r="A7" s="61" t="str">
        <x:v>SKY</x:v>
      </x:c>
      <x:c r="B7" s="62" t="n">
        <x:v>280</x:v>
      </x:c>
      <x:c r="C7" s="62" t="n">
        <x:v>6</x:v>
      </x:c>
      <x:c r="D7" s="87" t="n">
        <x:f>B7/C7</x:f>
        <x:v>46.666666666666664</x:v>
      </x:c>
      <x:c r="E7" s="62" t="str">
        <x:f>IF(D7&gt;=60,"Excellent",IF(D7&gt;=40,"Good","Needs Practice"))</x:f>
        <x:v>Good</x:v>
      </x:c>
      <x:c r="F7" s="63" t="str">
        <x:f>UPPER(LEFT(A7,3))</x:f>
        <x:v>SKY</x:v>
      </x:c>
    </x:row>
  </x:sheetData>
  <x:mergeCells>
    <x:mergeCell ref="A1:F1"/>
  </x:mergeCells>
  <x:conditionalFormatting sqref="A4:F7">
    <x:cfRule type="expression" dxfId="7" priority="1">
      <x:formula>$B4=MAX($B$4:$B$7)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.380000114440918" hidden="0" customWidth="1"/>
  </x:cols>
  <x:sheetData>
    <x:row r="1" ht="28" customHeight="1">
      <x:c r="A1" s="5" t="str">
        <x:v>Task 8: Gym Membership</x:v>
      </x:c>
      <x:c r="B1" s="5"/>
      <x:c r="C1" s="5"/>
      <x:c r="D1" s="5"/>
      <x:c r="E1" s="5"/>
      <x:c r="F1" s="5"/>
    </x:row>
    <x:row r="3" ht="24" customHeight="1">
      <x:c r="A3" s="21" t="str">
        <x:v>Member</x:v>
      </x:c>
      <x:c r="B3" s="22" t="str">
        <x:v>Age</x:v>
      </x:c>
      <x:c r="C3" s="22" t="str">
        <x:v>Membership</x:v>
      </x:c>
      <x:c r="D3" s="22" t="str">
        <x:v>Fee</x:v>
      </x:c>
      <x:c r="E3" s="22" t="str">
        <x:v>Age Category</x:v>
      </x:c>
      <x:c r="F3" s="23" t="str">
        <x:v>Membership ID</x:v>
      </x:c>
    </x:row>
    <x:row r="4">
      <x:c r="A4" s="55" t="str">
        <x:f>PROPER("Amit")</x:f>
        <x:v>Amit</x:v>
      </x:c>
      <x:c r="B4" s="56" t="n">
        <x:v>22</x:v>
      </x:c>
      <x:c r="C4" s="56" t="str">
        <x:v>Gold</x:v>
      </x:c>
      <x:c r="D4" s="73" t="n">
        <x:v>2500</x:v>
      </x:c>
      <x:c r="E4" s="56" t="str">
        <x:f>IF(B4&gt;=60,"Senior","Adult")</x:f>
        <x:v>Adult</x:v>
      </x:c>
      <x:c r="F4" s="57" t="str">
        <x:f>UPPER(LEFT(C4,2))&amp;"-"&amp;UPPER(A4)</x:f>
        <x:v>GO-AMIT</x:v>
      </x:c>
    </x:row>
    <x:row r="5">
      <x:c r="A5" s="58" t="str">
        <x:f>PROPER("Ravi")</x:f>
        <x:v>Ravi</x:v>
      </x:c>
      <x:c r="B5" s="59" t="n">
        <x:v>45</x:v>
      </x:c>
      <x:c r="C5" s="59" t="str">
        <x:v>Silver</x:v>
      </x:c>
      <x:c r="D5" s="74" t="n">
        <x:v>1800</x:v>
      </x:c>
      <x:c r="E5" s="59" t="str">
        <x:f>IF(B5&gt;=60,"Senior","Adult")</x:f>
        <x:v>Adult</x:v>
      </x:c>
      <x:c r="F5" s="60" t="str">
        <x:f>UPPER(LEFT(C5,2))&amp;"-"&amp;UPPER(A5)</x:f>
        <x:v>SI-RAVI</x:v>
      </x:c>
    </x:row>
    <x:row r="6">
      <x:c r="A6" s="58" t="str">
        <x:f>PROPER("Neha")</x:f>
        <x:v>Neha</x:v>
      </x:c>
      <x:c r="B6" s="59" t="n">
        <x:v>31</x:v>
      </x:c>
      <x:c r="C6" s="59" t="str">
        <x:v>Platinum</x:v>
      </x:c>
      <x:c r="D6" s="74" t="n">
        <x:v>4000</x:v>
      </x:c>
      <x:c r="E6" s="59" t="str">
        <x:f>IF(B6&gt;=60,"Senior","Adult")</x:f>
        <x:v>Adult</x:v>
      </x:c>
      <x:c r="F6" s="60" t="str">
        <x:f>UPPER(LEFT(C6,2))&amp;"-"&amp;UPPER(A6)</x:f>
        <x:v>PL-NEHA</x:v>
      </x:c>
    </x:row>
    <x:row r="7">
      <x:c r="A7" s="61" t="str">
        <x:f>PROPER("Priya")</x:f>
        <x:v>Priya</x:v>
      </x:c>
      <x:c r="B7" s="62" t="n">
        <x:v>26</x:v>
      </x:c>
      <x:c r="C7" s="62" t="str">
        <x:v>Gold</x:v>
      </x:c>
      <x:c r="D7" s="75" t="n">
        <x:v>2500</x:v>
      </x:c>
      <x:c r="E7" s="62" t="str">
        <x:f>IF(B7&gt;=60,"Senior","Adult")</x:f>
        <x:v>Adult</x:v>
      </x:c>
      <x:c r="F7" s="63" t="str">
        <x:f>UPPER(LEFT(C7,2))&amp;"-"&amp;UPPER(A7)</x:f>
        <x:v>GO-PRIYA</x:v>
      </x:c>
    </x:row>
  </x:sheetData>
  <x:mergeCells>
    <x:mergeCell ref="A1:F1"/>
  </x:mergeCells>
  <x:conditionalFormatting sqref="A4:F7">
    <x:cfRule type="expression" dxfId="8" priority="1">
      <x:formula>$C4="Platinum"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.380000114440918" hidden="0" customWidth="1"/>
    <x:col min="5" max="5" width="14.130000114440918" hidden="0" customWidth="1"/>
    <x:col min="6" max="6" width="12" hidden="0" customWidth="1"/>
    <x:col min="7" max="7" width="13.130000114440918" hidden="0" customWidth="1"/>
  </x:cols>
  <x:sheetData>
    <x:row r="1" ht="28" customHeight="1">
      <x:c r="A1" s="5" t="str">
        <x:v>Task 9: Online Course Enrollment</x:v>
      </x:c>
      <x:c r="B1" s="5"/>
      <x:c r="C1" s="5"/>
      <x:c r="D1" s="5"/>
      <x:c r="E1" s="5"/>
      <x:c r="F1" s="5"/>
      <x:c r="G1" s="5"/>
    </x:row>
    <x:row r="3" ht="24" customHeight="1">
      <x:c r="A3" s="21" t="str">
        <x:v>Student</x:v>
      </x:c>
      <x:c r="B3" s="22" t="str">
        <x:v>Course</x:v>
      </x:c>
      <x:c r="C3" s="22" t="str">
        <x:v>Fee</x:v>
      </x:c>
      <x:c r="D3" s="22" t="str">
        <x:v>Payment Status</x:v>
      </x:c>
      <x:c r="E3" s="22" t="str">
        <x:v>Enrollment Status</x:v>
      </x:c>
      <x:c r="F3" s="22" t="str">
        <x:v>Student Code</x:v>
      </x:c>
      <x:c r="G3" s="23" t="str">
        <x:v>Course - Student</x:v>
      </x:c>
    </x:row>
    <x:row r="4">
      <x:c r="A4" s="55" t="str">
        <x:v>Amit</x:v>
      </x:c>
      <x:c r="B4" s="56" t="str">
        <x:v>Excel</x:v>
      </x:c>
      <x:c r="C4" s="73" t="n">
        <x:v>5000</x:v>
      </x:c>
      <x:c r="D4" s="56" t="str">
        <x:v>Paid</x:v>
      </x:c>
      <x:c r="E4" s="56" t="str">
        <x:f>IF(D4="Paid","Active","Inactive")</x:f>
        <x:v>Active</x:v>
      </x:c>
      <x:c r="F4" s="56" t="str">
        <x:f>UPPER(LEFT(B4,2))&amp;"-"&amp;UPPER(A4)</x:f>
        <x:v>EX-AMIT</x:v>
      </x:c>
      <x:c r="G4" s="57" t="str">
        <x:f>B4&amp;" - "&amp;A4</x:f>
        <x:v>Excel - Amit</x:v>
      </x:c>
    </x:row>
    <x:row r="5">
      <x:c r="A5" s="58" t="str">
        <x:v>Ravi</x:v>
      </x:c>
      <x:c r="B5" s="59" t="str">
        <x:v>SQL</x:v>
      </x:c>
      <x:c r="C5" s="74" t="n">
        <x:v>6000</x:v>
      </x:c>
      <x:c r="D5" s="59" t="str">
        <x:v>Pending</x:v>
      </x:c>
      <x:c r="E5" s="59" t="str">
        <x:f>IF(D5="Paid","Active","Inactive")</x:f>
        <x:v>Inactive</x:v>
      </x:c>
      <x:c r="F5" s="59" t="str">
        <x:f>UPPER(LEFT(B5,2))&amp;"-"&amp;UPPER(A5)</x:f>
        <x:v>SQ-RAVI</x:v>
      </x:c>
      <x:c r="G5" s="60" t="str">
        <x:f>B5&amp;" - "&amp;A5</x:f>
        <x:v>SQL - Ravi</x:v>
      </x:c>
    </x:row>
    <x:row r="6">
      <x:c r="A6" s="58" t="str">
        <x:v>Priya</x:v>
      </x:c>
      <x:c r="B6" s="59" t="str">
        <x:v>Power BI</x:v>
      </x:c>
      <x:c r="C6" s="74" t="n">
        <x:v>7000</x:v>
      </x:c>
      <x:c r="D6" s="59" t="str">
        <x:v>Paid</x:v>
      </x:c>
      <x:c r="E6" s="59" t="str">
        <x:f>IF(D6="Paid","Active","Inactive")</x:f>
        <x:v>Active</x:v>
      </x:c>
      <x:c r="F6" s="59" t="str">
        <x:f>UPPER(LEFT(B6,2))&amp;"-"&amp;UPPER(A6)</x:f>
        <x:v>PO-PRIYA</x:v>
      </x:c>
      <x:c r="G6" s="60" t="str">
        <x:f>B6&amp;" - "&amp;A6</x:f>
        <x:v>Power BI - Priya</x:v>
      </x:c>
    </x:row>
    <x:row r="7">
      <x:c r="A7" s="61" t="str">
        <x:v>Neha</x:v>
      </x:c>
      <x:c r="B7" s="62" t="str">
        <x:v>Python</x:v>
      </x:c>
      <x:c r="C7" s="75" t="n">
        <x:v>8000</x:v>
      </x:c>
      <x:c r="D7" s="62" t="str">
        <x:v>Pending</x:v>
      </x:c>
      <x:c r="E7" s="62" t="str">
        <x:f>IF(D7="Paid","Active","Inactive")</x:f>
        <x:v>Inactive</x:v>
      </x:c>
      <x:c r="F7" s="62" t="str">
        <x:f>UPPER(LEFT(B7,2))&amp;"-"&amp;UPPER(A7)</x:f>
        <x:v>PY-NEHA</x:v>
      </x:c>
      <x:c r="G7" s="63" t="str">
        <x:f>B7&amp;" - "&amp;A7</x:f>
        <x:v>Python - Neha</x:v>
      </x:c>
    </x:row>
  </x:sheetData>
  <x:mergeCells>
    <x:mergeCell ref="A1:G1"/>
  </x:mergeCells>
  <x:conditionalFormatting sqref="A4:G7">
    <x:cfRule type="expression" dxfId="9" priority="1">
      <x:formula>$D4="Pending"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7.3799991607666" hidden="0" customWidth="1"/>
  </x:cols>
  <x:sheetData>
    <x:row r="1" ht="28" customHeight="1">
      <x:c r="A1" s="5" t="str">
        <x:v>Task 10: HR Recruitment Tracker</x:v>
      </x:c>
      <x:c r="B1" s="5"/>
      <x:c r="C1" s="5"/>
      <x:c r="D1" s="5"/>
      <x:c r="E1" s="5"/>
      <x:c r="F1" s="5"/>
      <x:c r="G1" s="5"/>
    </x:row>
    <x:row r="3" ht="24" customHeight="1">
      <x:c r="A3" s="21" t="str">
        <x:v>Candidate</x:v>
      </x:c>
      <x:c r="B3" s="22" t="str">
        <x:v>Experience</x:v>
      </x:c>
      <x:c r="C3" s="22" t="str">
        <x:v>Test Score</x:v>
      </x:c>
      <x:c r="D3" s="22" t="str">
        <x:v>Interview</x:v>
      </x:c>
      <x:c r="E3" s="22" t="str">
        <x:v>Final Result</x:v>
      </x:c>
      <x:c r="F3" s="22" t="str">
        <x:v>Candidate ID</x:v>
      </x:c>
      <x:c r="G3" s="23" t="str">
        <x:v>Interview (Uppercase)</x:v>
      </x:c>
    </x:row>
    <x:row r="4">
      <x:c r="A4" s="55" t="str">
        <x:v>Amit</x:v>
      </x:c>
      <x:c r="B4" s="56" t="n">
        <x:v>2</x:v>
      </x:c>
      <x:c r="C4" s="56" t="n">
        <x:v>85</x:v>
      </x:c>
      <x:c r="D4" s="56" t="str">
        <x:v>Yes</x:v>
      </x:c>
      <x:c r="E4" s="56" t="str">
        <x:f>IF(AND(B4&gt;=1,D4="Yes"),"Selected","Rejected")</x:f>
        <x:v>Selected</x:v>
      </x:c>
      <x:c r="F4" s="56" t="str">
        <x:f>UPPER(LEFT(A4,2))&amp;"-"&amp;TEXT(B4,"00")</x:f>
        <x:v>AM-02</x:v>
      </x:c>
      <x:c r="G4" s="57" t="str">
        <x:f>UPPER(D4)</x:f>
        <x:v>YES</x:v>
      </x:c>
    </x:row>
    <x:row r="5">
      <x:c r="A5" s="58" t="str">
        <x:v>Ravi</x:v>
      </x:c>
      <x:c r="B5" s="59" t="n">
        <x:v>0</x:v>
      </x:c>
      <x:c r="C5" s="59" t="n">
        <x:v>78</x:v>
      </x:c>
      <x:c r="D5" s="59" t="str">
        <x:v>No</x:v>
      </x:c>
      <x:c r="E5" s="59" t="str">
        <x:f>IF(AND(B5&gt;=1,D5="Yes"),"Selected","Rejected")</x:f>
        <x:v>Rejected</x:v>
      </x:c>
      <x:c r="F5" s="59" t="str">
        <x:f>UPPER(LEFT(A5,2))&amp;"-"&amp;TEXT(B5,"00")</x:f>
        <x:v>RA-00</x:v>
      </x:c>
      <x:c r="G5" s="60" t="str">
        <x:f>UPPER(D5)</x:f>
        <x:v>NO</x:v>
      </x:c>
    </x:row>
    <x:row r="6">
      <x:c r="A6" s="58" t="str">
        <x:v>Priya</x:v>
      </x:c>
      <x:c r="B6" s="59" t="n">
        <x:v>4</x:v>
      </x:c>
      <x:c r="C6" s="59" t="n">
        <x:v>91</x:v>
      </x:c>
      <x:c r="D6" s="59" t="str">
        <x:v>Yes</x:v>
      </x:c>
      <x:c r="E6" s="59" t="str">
        <x:f>IF(AND(B6&gt;=1,D6="Yes"),"Selected","Rejected")</x:f>
        <x:v>Selected</x:v>
      </x:c>
      <x:c r="F6" s="59" t="str">
        <x:f>UPPER(LEFT(A6,2))&amp;"-"&amp;TEXT(B6,"00")</x:f>
        <x:v>PR-04</x:v>
      </x:c>
      <x:c r="G6" s="60" t="str">
        <x:f>UPPER(D6)</x:f>
        <x:v>YES</x:v>
      </x:c>
    </x:row>
    <x:row r="7">
      <x:c r="A7" s="61" t="str">
        <x:v>Neha</x:v>
      </x:c>
      <x:c r="B7" s="62" t="n">
        <x:v>1</x:v>
      </x:c>
      <x:c r="C7" s="62" t="n">
        <x:v>68</x:v>
      </x:c>
      <x:c r="D7" s="62" t="str">
        <x:v>Yes</x:v>
      </x:c>
      <x:c r="E7" s="62" t="str">
        <x:f>IF(AND(B7&gt;=1,D7="Yes"),"Selected","Rejected")</x:f>
        <x:v>Selected</x:v>
      </x:c>
      <x:c r="F7" s="62" t="str">
        <x:f>UPPER(LEFT(A7,2))&amp;"-"&amp;TEXT(B7,"00")</x:f>
        <x:v>NE-01</x:v>
      </x:c>
      <x:c r="G7" s="63" t="str">
        <x:f>UPPER(D7)</x:f>
        <x:v>YES</x:v>
      </x:c>
    </x:row>
  </x:sheetData>
  <x:mergeCells>
    <x:mergeCell ref="A1:G1"/>
  </x:mergeCells>
  <x:conditionalFormatting sqref="A4:G7">
    <x:cfRule type="expression" dxfId="10" priority="1">
      <x:formula>$C4&gt;90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14" hidden="0" customWidth="1"/>
  </x:cols>
  <x:sheetData>
    <x:row r="1" ht="32" customHeight="1">
      <x:c r="A1" s="93" t="str">
        <x:v>Excel Practice Assignment - Answer Workbook</x:v>
      </x:c>
      <x:c r="B1" s="93"/>
      <x:c r="C1" s="93"/>
      <x:c r="D1" s="93"/>
    </x:row>
    <x:row r="3">
      <x:c r="A3" s="102" t="str">
        <x:v>Task</x:v>
      </x:c>
      <x:c r="B3" s="103" t="str">
        <x:v>Worksheet</x:v>
      </x:c>
      <x:c r="C3" s="103" t="str">
        <x:v>Main Skills</x:v>
      </x:c>
      <x:c r="D3" s="104" t="str">
        <x:v>Status</x:v>
      </x:c>
    </x:row>
    <x:row r="4">
      <x:c r="A4" s="38" t="n">
        <x:v>1</x:v>
      </x:c>
      <x:c r="B4" s="39" t="str">
        <x:v>Task 1 Orders</x:v>
      </x:c>
      <x:c r="C4" s="39" t="str">
        <x:v>Formatting, currency, IF, conditional formatting</x:v>
      </x:c>
      <x:c r="D4" s="40" t="str">
        <x:v>Completed</x:v>
      </x:c>
    </x:row>
    <x:row r="5">
      <x:c r="A5" s="41" t="n">
        <x:v>2</x:v>
      </x:c>
      <x:c r="B5" s="42" t="str">
        <x:v>Task 2 Patients</x:v>
      </x:c>
      <x:c r="C5" s="42" t="str">
        <x:v>IF, PROPER, age-based highlighting</x:v>
      </x:c>
      <x:c r="D5" s="43" t="str">
        <x:v>Completed</x:v>
      </x:c>
    </x:row>
    <x:row r="6">
      <x:c r="A6" s="41" t="n">
        <x:v>3</x:v>
      </x:c>
      <x:c r="B6" s="42" t="str">
        <x:v>Task 3 Movies</x:v>
      </x:c>
      <x:c r="C6" s="42" t="str">
        <x:v>Billing, IF, LEFT, UPPER, concatenate</x:v>
      </x:c>
      <x:c r="D6" s="43" t="str">
        <x:v>Completed</x:v>
      </x:c>
    </x:row>
    <x:row r="7">
      <x:c r="A7" s="41" t="n">
        <x:v>4</x:v>
      </x:c>
      <x:c r="B7" s="42" t="str">
        <x:v>Task 4 Library</x:v>
      </x:c>
      <x:c r="C7" s="42" t="str">
        <x:v>Date difference, IF, text extraction</x:v>
      </x:c>
      <x:c r="D7" s="43" t="str">
        <x:v>Completed</x:v>
      </x:c>
    </x:row>
    <x:row r="8">
      <x:c r="A8" s="41" t="n">
        <x:v>5</x:v>
      </x:c>
      <x:c r="B8" s="42" t="str">
        <x:v>Task 5 Restaurant</x:v>
      </x:c>
      <x:c r="C8" s="42" t="str">
        <x:v>Billing, UPPER, concatenate</x:v>
      </x:c>
      <x:c r="D8" s="43" t="str">
        <x:v>Completed</x:v>
      </x:c>
    </x:row>
    <x:row r="9">
      <x:c r="A9" s="41" t="n">
        <x:v>6</x:v>
      </x:c>
      <x:c r="B9" s="42" t="str">
        <x:v>Task 6 Airport</x:v>
      </x:c>
      <x:c r="C9" s="42" t="str">
        <x:v>Split names, LOWER, LEFT, boarding code</x:v>
      </x:c>
      <x:c r="D9" s="43" t="str">
        <x:v>Completed</x:v>
      </x:c>
    </x:row>
    <x:row r="10">
      <x:c r="A10" s="41" t="n">
        <x:v>7</x:v>
      </x:c>
      <x:c r="B10" s="42" t="str">
        <x:v>Task 7 Cricket</x:v>
      </x:c>
      <x:c r="C10" s="42" t="str">
        <x:v>Average, nested IF, MAX, LEFT</x:v>
      </x:c>
      <x:c r="D10" s="43" t="str">
        <x:v>Completed</x:v>
      </x:c>
    </x:row>
    <x:row r="11">
      <x:c r="A11" s="41" t="n">
        <x:v>8</x:v>
      </x:c>
      <x:c r="B11" s="42" t="str">
        <x:v>Task 8 Gym</x:v>
      </x:c>
      <x:c r="C11" s="42" t="str">
        <x:v>Conditional formatting, IF, PROPER</x:v>
      </x:c>
      <x:c r="D11" s="43" t="str">
        <x:v>Completed</x:v>
      </x:c>
    </x:row>
    <x:row r="12">
      <x:c r="A12" s="41" t="n">
        <x:v>9</x:v>
      </x:c>
      <x:c r="B12" s="42" t="str">
        <x:v>Task 9 Courses</x:v>
      </x:c>
      <x:c r="C12" s="42" t="str">
        <x:v>IF, concatenate, payment highlighting</x:v>
      </x:c>
      <x:c r="D12" s="43" t="str">
        <x:v>Completed</x:v>
      </x:c>
    </x:row>
    <x:row r="13">
      <x:c r="A13" s="44" t="n">
        <x:v>10</x:v>
      </x:c>
      <x:c r="B13" s="45" t="str">
        <x:v>Task 10 HR</x:v>
      </x:c>
      <x:c r="C13" s="45" t="str">
        <x:v>AND, IF, TEXT, UPPER</x:v>
      </x:c>
      <x:c r="D13" s="46" t="str">
        <x:v>Completed</x:v>
      </x:c>
    </x:row>
  </x:sheetData>
  <x:mergeCells>
    <x:mergeCell ref="A1:D1"/>
  </x:mergeCells>
  <x:pageMargins left="0.7" right="0.7" top="0.75" bottom="0.75" header="0.3" footer="0.3"/>
</x:worksheet>
</file>