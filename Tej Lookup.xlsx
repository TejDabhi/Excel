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6\Downloads\"/>
    </mc:Choice>
  </mc:AlternateContent>
  <xr:revisionPtr revIDLastSave="0" documentId="8_{8214BC3A-7208-491E-B7E3-1F775E34DDA8}" xr6:coauthVersionLast="47" xr6:coauthVersionMax="47" xr10:uidLastSave="{00000000-0000-0000-0000-000000000000}"/>
  <bookViews>
    <workbookView xWindow="-120" yWindow="-120" windowWidth="20730" windowHeight="11040" activeTab="2" xr2:uid="{F2069C1B-0FB2-4D14-BD04-9FC25913A577}"/>
  </bookViews>
  <sheets>
    <sheet name="Sheet1" sheetId="1" r:id="rId1"/>
    <sheet name="Sheet2" sheetId="2" r:id="rId2"/>
    <sheet name="Sheet3" sheetId="3" r:id="rId3"/>
    <sheet name="sl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27" i="3" l="1"/>
  <c r="I15" i="3"/>
  <c r="I12" i="3"/>
  <c r="I8" i="3"/>
  <c r="K11" i="2"/>
  <c r="I9" i="3"/>
  <c r="I7" i="3"/>
  <c r="I24" i="3"/>
  <c r="I21" i="3"/>
  <c r="I18" i="3"/>
  <c r="K20" i="2"/>
  <c r="K17" i="2"/>
  <c r="K14" i="2"/>
  <c r="K8" i="2"/>
  <c r="K5" i="2"/>
</calcChain>
</file>

<file path=xl/sharedStrings.xml><?xml version="1.0" encoding="utf-8"?>
<sst xmlns="http://schemas.openxmlformats.org/spreadsheetml/2006/main" count="173" uniqueCount="45">
  <si>
    <t>EmployeeID</t>
  </si>
  <si>
    <t>Name</t>
  </si>
  <si>
    <t>Department</t>
  </si>
  <si>
    <t>Location</t>
  </si>
  <si>
    <t>Salary</t>
  </si>
  <si>
    <t>JoiningYear</t>
  </si>
  <si>
    <t>E101</t>
  </si>
  <si>
    <t>Rahul Sharma</t>
  </si>
  <si>
    <t>Sales</t>
  </si>
  <si>
    <t>Mumbai</t>
  </si>
  <si>
    <t>E102</t>
  </si>
  <si>
    <t>Ananya Gupta</t>
  </si>
  <si>
    <t>HR</t>
  </si>
  <si>
    <t>Delhi</t>
  </si>
  <si>
    <t>E103</t>
  </si>
  <si>
    <t>Rohit Verma</t>
  </si>
  <si>
    <t>IT</t>
  </si>
  <si>
    <t>Bangalore</t>
  </si>
  <si>
    <t>E104</t>
  </si>
  <si>
    <t>Neha Singh</t>
  </si>
  <si>
    <t>Finance</t>
  </si>
  <si>
    <t>Pune</t>
  </si>
  <si>
    <t>E105</t>
  </si>
  <si>
    <t>Aman Kumar</t>
  </si>
  <si>
    <t>Marketing</t>
  </si>
  <si>
    <t>E106</t>
  </si>
  <si>
    <t>Pooja Mehta</t>
  </si>
  <si>
    <t>Chennai</t>
  </si>
  <si>
    <t>E107</t>
  </si>
  <si>
    <t>Suresh Rao</t>
  </si>
  <si>
    <t>Hyderabad</t>
  </si>
  <si>
    <t>E108</t>
  </si>
  <si>
    <t>Kavita Iyer</t>
  </si>
  <si>
    <t>Bonus %</t>
  </si>
  <si>
    <t>ID</t>
  </si>
  <si>
    <t>Departmenrt</t>
  </si>
  <si>
    <t>Eid</t>
  </si>
  <si>
    <t>E109</t>
  </si>
  <si>
    <t>Joining Date</t>
  </si>
  <si>
    <t>EID</t>
  </si>
  <si>
    <t>Bonus</t>
  </si>
  <si>
    <t>Ename</t>
  </si>
  <si>
    <t>E999</t>
  </si>
  <si>
    <t>VLOOKUP</t>
  </si>
  <si>
    <t>HLOOKUP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</si>
</sst>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  <font>
      <sz val="11"/>
      <color theme="1"/>
      <name val="Calibri"/>
      <family val="2"/>
      <scheme val="minor"/>
    </font>
    <font>
      <b/>
      <sz val="12"/>
      <color rgb="FF1F2328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1D9E0"/>
      </left>
      <right/>
      <top style="medium">
        <color rgb="FFD1D9E0"/>
      </top>
      <bottom style="medium">
        <color rgb="FFD1D9E0"/>
      </bottom>
      <diagonal/>
    </border>
    <border>
      <left/>
      <right style="medium">
        <color rgb="FFD1D9E0"/>
      </right>
      <top style="medium">
        <color rgb="FFD1D9E0"/>
      </top>
      <bottom style="medium">
        <color rgb="FFD1D9E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right" vertical="center" wrapText="1" inden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right" vertical="center" wrapText="1" indent="1"/>
    </xf>
    <xf numFmtId="0" fontId="0" fillId="2" borderId="1" xfId="0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right" vertical="center" wrapText="1" indent="1"/>
    </xf>
    <xf numFmtId="0" fontId="3" fillId="3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right" vertical="center" wrapText="1" indent="1"/>
    </xf>
    <xf numFmtId="9" fontId="0" fillId="2" borderId="1" xfId="0" applyNumberFormat="1" applyFill="1" applyBorder="1" applyAlignment="1">
      <alignment horizontal="right" vertical="center" wrapText="1" indent="1"/>
    </xf>
    <xf numFmtId="9" fontId="3" fillId="2" borderId="1" xfId="0" applyNumberFormat="1" applyFont="1" applyFill="1" applyBorder="1" applyAlignment="1">
      <alignment horizontal="right" vertical="center" wrapText="1" indent="1"/>
    </xf>
    <xf numFmtId="0" fontId="0" fillId="0" borderId="2" xfId="0" applyBorder="1"/>
    <xf numFmtId="0" fontId="1" fillId="4" borderId="2" xfId="0" applyFont="1" applyFill="1" applyBorder="1"/>
    <xf numFmtId="0" fontId="0" fillId="0" borderId="2" xfId="0" applyBorder="1" applyAlignment="1">
      <alignment horizontal="left"/>
    </xf>
    <xf numFmtId="0" fontId="0" fillId="5" borderId="2" xfId="0" applyFill="1" applyBorder="1"/>
    <xf numFmtId="0" fontId="0" fillId="5" borderId="2" xfId="0" applyFill="1" applyBorder="1" applyAlignment="1">
      <alignment horizontal="left"/>
    </xf>
    <xf numFmtId="0" fontId="1" fillId="6" borderId="2" xfId="0" applyFont="1" applyFill="1" applyBorder="1"/>
    <xf numFmtId="0" fontId="2" fillId="2" borderId="3" xfId="0" applyFont="1" applyFill="1" applyBorder="1" applyAlignment="1">
      <alignment horizontal="right" vertical="center" wrapText="1" indent="1"/>
    </xf>
    <xf numFmtId="9" fontId="3" fillId="2" borderId="3" xfId="0" applyNumberFormat="1" applyFont="1" applyFill="1" applyBorder="1" applyAlignment="1">
      <alignment horizontal="right" vertical="center" wrapText="1" indent="1"/>
    </xf>
    <xf numFmtId="0" fontId="2" fillId="2" borderId="4" xfId="0" applyFont="1" applyFill="1" applyBorder="1" applyAlignment="1">
      <alignment horizontal="right" vertical="center" wrapText="1" indent="1"/>
    </xf>
    <xf numFmtId="9" fontId="3" fillId="2" borderId="4" xfId="0" applyNumberFormat="1" applyFont="1" applyFill="1" applyBorder="1" applyAlignment="1">
      <alignment horizontal="right" vertical="center" wrapText="1" indent="1"/>
    </xf>
    <xf numFmtId="9" fontId="3" fillId="2" borderId="2" xfId="0" applyNumberFormat="1" applyFont="1" applyFill="1" applyBorder="1" applyAlignment="1">
      <alignment horizontal="right" vertical="center" wrapText="1" indent="1"/>
    </xf>
    <xf numFmtId="0" fontId="0" fillId="0" borderId="2" xfId="0" applyBorder="1" applyAlignment="1">
      <alignment horizontal="right" vertical="center" wrapText="1"/>
    </xf>
    <xf numFmtId="0" fontId="5" fillId="6" borderId="2" xfId="0" applyFont="1" applyFill="1" applyBorder="1" applyAlignment="1">
      <alignment horizontal="right" vertical="center" wrapText="1" indent="1"/>
    </xf>
    <xf numFmtId="9" fontId="3" fillId="2" borderId="2" xfId="0" applyNumberFormat="1" applyFont="1" applyFill="1" applyBorder="1" applyAlignment="1">
      <alignment horizontal="left" vertical="center" wrapText="1" indent="1"/>
    </xf>
    <xf numFmtId="10" fontId="0" fillId="0" borderId="2" xfId="0" applyNumberFormat="1" applyBorder="1" applyAlignment="1">
      <alignment horizontal="lef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B714C-C9D3-4CCD-94BF-C4F1BCE07DF0}">
  <dimension ref="C2:H19"/>
  <sheetViews>
    <sheetView topLeftCell="A9" workbookViewId="0">
      <selection activeCell="G18" sqref="G18"/>
    </sheetView>
  </sheetViews>
  <sheetFormatPr defaultRowHeight="15" x14ac:dyDescent="0.25"/>
  <sheetData>
    <row r="2" spans="3:8" ht="15.75" thickBot="1" x14ac:dyDescent="0.3"/>
    <row r="3" spans="3:8" ht="52.5" thickBot="1" x14ac:dyDescent="0.3">
      <c r="C3" s="1" t="s">
        <v>0</v>
      </c>
      <c r="D3" s="2" t="s">
        <v>1</v>
      </c>
      <c r="E3" s="2" t="s">
        <v>2</v>
      </c>
      <c r="F3" s="2" t="s">
        <v>3</v>
      </c>
      <c r="G3" s="1" t="s">
        <v>4</v>
      </c>
      <c r="H3" s="1" t="s">
        <v>5</v>
      </c>
    </row>
    <row r="4" spans="3:8" ht="52.5" thickBot="1" x14ac:dyDescent="0.3">
      <c r="C4" s="3" t="s">
        <v>6</v>
      </c>
      <c r="D4" s="5" t="s">
        <v>7</v>
      </c>
      <c r="E4" s="5" t="s">
        <v>8</v>
      </c>
      <c r="F4" s="5" t="s">
        <v>9</v>
      </c>
      <c r="G4" s="3">
        <v>45000</v>
      </c>
      <c r="H4" s="3">
        <v>2019</v>
      </c>
    </row>
    <row r="5" spans="3:8" ht="52.5" thickBot="1" x14ac:dyDescent="0.3">
      <c r="C5" s="6" t="s">
        <v>10</v>
      </c>
      <c r="D5" s="7" t="s">
        <v>11</v>
      </c>
      <c r="E5" s="7" t="s">
        <v>12</v>
      </c>
      <c r="F5" s="7" t="s">
        <v>13</v>
      </c>
      <c r="G5" s="6">
        <v>52000</v>
      </c>
      <c r="H5" s="6">
        <v>2018</v>
      </c>
    </row>
    <row r="6" spans="3:8" ht="35.25" thickBot="1" x14ac:dyDescent="0.3">
      <c r="C6" s="3" t="s">
        <v>14</v>
      </c>
      <c r="D6" s="5" t="s">
        <v>15</v>
      </c>
      <c r="E6" s="5" t="s">
        <v>16</v>
      </c>
      <c r="F6" s="5" t="s">
        <v>17</v>
      </c>
      <c r="G6" s="3">
        <v>65000</v>
      </c>
      <c r="H6" s="3">
        <v>2020</v>
      </c>
    </row>
    <row r="7" spans="3:8" ht="35.25" thickBot="1" x14ac:dyDescent="0.3">
      <c r="C7" s="6" t="s">
        <v>18</v>
      </c>
      <c r="D7" s="7" t="s">
        <v>19</v>
      </c>
      <c r="E7" s="7" t="s">
        <v>20</v>
      </c>
      <c r="F7" s="7" t="s">
        <v>21</v>
      </c>
      <c r="G7" s="6">
        <v>58000</v>
      </c>
      <c r="H7" s="6">
        <v>2017</v>
      </c>
    </row>
    <row r="8" spans="3:8" ht="35.25" thickBot="1" x14ac:dyDescent="0.3">
      <c r="C8" s="3" t="s">
        <v>22</v>
      </c>
      <c r="D8" s="5" t="s">
        <v>23</v>
      </c>
      <c r="E8" s="5" t="s">
        <v>24</v>
      </c>
      <c r="F8" s="5" t="s">
        <v>9</v>
      </c>
      <c r="G8" s="3">
        <v>48000</v>
      </c>
      <c r="H8" s="3">
        <v>2021</v>
      </c>
    </row>
    <row r="9" spans="3:8" ht="35.25" thickBot="1" x14ac:dyDescent="0.3">
      <c r="C9" s="6" t="s">
        <v>25</v>
      </c>
      <c r="D9" s="7" t="s">
        <v>26</v>
      </c>
      <c r="E9" s="7" t="s">
        <v>16</v>
      </c>
      <c r="F9" s="7" t="s">
        <v>27</v>
      </c>
      <c r="G9" s="6">
        <v>62000</v>
      </c>
      <c r="H9" s="6">
        <v>2019</v>
      </c>
    </row>
    <row r="10" spans="3:8" ht="35.25" thickBot="1" x14ac:dyDescent="0.3">
      <c r="C10" s="3" t="s">
        <v>28</v>
      </c>
      <c r="D10" s="5" t="s">
        <v>29</v>
      </c>
      <c r="E10" s="5" t="s">
        <v>8</v>
      </c>
      <c r="F10" s="5" t="s">
        <v>30</v>
      </c>
      <c r="G10" s="3">
        <v>47000</v>
      </c>
      <c r="H10" s="3">
        <v>2020</v>
      </c>
    </row>
    <row r="11" spans="3:8" ht="35.25" thickBot="1" x14ac:dyDescent="0.3">
      <c r="C11" s="6" t="s">
        <v>31</v>
      </c>
      <c r="D11" s="7" t="s">
        <v>32</v>
      </c>
      <c r="E11" s="7" t="s">
        <v>12</v>
      </c>
      <c r="F11" s="7" t="s">
        <v>17</v>
      </c>
      <c r="G11" s="6">
        <v>54000</v>
      </c>
      <c r="H11" s="6">
        <v>2016</v>
      </c>
    </row>
    <row r="13" spans="3:8" ht="15.75" thickBot="1" x14ac:dyDescent="0.3"/>
    <row r="14" spans="3:8" ht="30.75" thickBot="1" x14ac:dyDescent="0.3">
      <c r="C14" s="8" t="s">
        <v>2</v>
      </c>
      <c r="D14" s="9" t="s">
        <v>8</v>
      </c>
      <c r="E14" s="9" t="s">
        <v>12</v>
      </c>
      <c r="F14" s="9" t="s">
        <v>16</v>
      </c>
      <c r="G14" s="9" t="s">
        <v>20</v>
      </c>
      <c r="H14" s="9" t="s">
        <v>24</v>
      </c>
    </row>
    <row r="15" spans="3:8" ht="30.75" thickBot="1" x14ac:dyDescent="0.3">
      <c r="C15" s="4" t="s">
        <v>33</v>
      </c>
      <c r="D15" s="10">
        <v>0.1</v>
      </c>
      <c r="E15" s="10">
        <v>0.08</v>
      </c>
      <c r="F15" s="10">
        <v>0.12</v>
      </c>
      <c r="G15" s="10">
        <v>0.15</v>
      </c>
      <c r="H15" s="10">
        <v>0.09</v>
      </c>
    </row>
    <row r="17" spans="3:4" ht="15.75" thickBot="1" x14ac:dyDescent="0.3"/>
    <row r="18" spans="3:4" ht="35.25" thickBot="1" x14ac:dyDescent="0.3">
      <c r="C18" s="2" t="s">
        <v>0</v>
      </c>
      <c r="D18" s="2" t="s">
        <v>1</v>
      </c>
    </row>
    <row r="19" spans="3:4" ht="35.25" thickBot="1" x14ac:dyDescent="0.3">
      <c r="C19" s="5" t="s">
        <v>18</v>
      </c>
      <c r="D19" s="5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6ED72-734C-480F-91BF-F64A210169CF}">
  <dimension ref="C2:K20"/>
  <sheetViews>
    <sheetView workbookViewId="0">
      <selection activeCell="K1" sqref="K1"/>
    </sheetView>
  </sheetViews>
  <sheetFormatPr defaultRowHeight="15" x14ac:dyDescent="0.25"/>
  <cols>
    <col min="10" max="10" width="17" customWidth="1"/>
    <col min="11" max="11" width="32.42578125" customWidth="1"/>
  </cols>
  <sheetData>
    <row r="2" spans="3:11" x14ac:dyDescent="0.25">
      <c r="J2" s="27" t="s">
        <v>43</v>
      </c>
    </row>
    <row r="3" spans="3:11" ht="15.75" thickBot="1" x14ac:dyDescent="0.3"/>
    <row r="4" spans="3:11" ht="52.5" thickBot="1" x14ac:dyDescent="0.3">
      <c r="C4" s="1" t="s">
        <v>0</v>
      </c>
      <c r="D4" s="2" t="s">
        <v>1</v>
      </c>
      <c r="E4" s="2" t="s">
        <v>2</v>
      </c>
      <c r="F4" s="2" t="s">
        <v>3</v>
      </c>
      <c r="G4" s="1" t="s">
        <v>4</v>
      </c>
      <c r="H4" s="1" t="s">
        <v>5</v>
      </c>
      <c r="J4" s="17" t="s">
        <v>34</v>
      </c>
      <c r="K4" s="17" t="s">
        <v>1</v>
      </c>
    </row>
    <row r="5" spans="3:11" ht="52.5" thickBot="1" x14ac:dyDescent="0.3">
      <c r="C5" s="3" t="s">
        <v>6</v>
      </c>
      <c r="D5" s="5" t="s">
        <v>7</v>
      </c>
      <c r="E5" s="5" t="s">
        <v>8</v>
      </c>
      <c r="F5" s="5" t="s">
        <v>9</v>
      </c>
      <c r="G5" s="3">
        <v>45000</v>
      </c>
      <c r="H5" s="3">
        <v>2019</v>
      </c>
      <c r="J5" s="12" t="s">
        <v>10</v>
      </c>
      <c r="K5" s="12" t="str">
        <f>VLOOKUP(J5,C4:H12,2,0)</f>
        <v>Ananya Gupta</v>
      </c>
    </row>
    <row r="6" spans="3:11" ht="52.5" thickBot="1" x14ac:dyDescent="0.3">
      <c r="C6" s="6" t="s">
        <v>10</v>
      </c>
      <c r="D6" s="7" t="s">
        <v>11</v>
      </c>
      <c r="E6" s="7" t="s">
        <v>12</v>
      </c>
      <c r="F6" s="7" t="s">
        <v>13</v>
      </c>
      <c r="G6" s="6">
        <v>52000</v>
      </c>
      <c r="H6" s="6">
        <v>2018</v>
      </c>
    </row>
    <row r="7" spans="3:11" ht="35.25" thickBot="1" x14ac:dyDescent="0.3">
      <c r="C7" s="3" t="s">
        <v>14</v>
      </c>
      <c r="D7" s="5" t="s">
        <v>15</v>
      </c>
      <c r="E7" s="5" t="s">
        <v>16</v>
      </c>
      <c r="F7" s="5" t="s">
        <v>17</v>
      </c>
      <c r="G7" s="3">
        <v>65000</v>
      </c>
      <c r="H7" s="3">
        <v>2020</v>
      </c>
      <c r="J7" s="13" t="s">
        <v>34</v>
      </c>
      <c r="K7" s="13" t="s">
        <v>35</v>
      </c>
    </row>
    <row r="8" spans="3:11" ht="35.25" thickBot="1" x14ac:dyDescent="0.3">
      <c r="C8" s="6" t="s">
        <v>18</v>
      </c>
      <c r="D8" s="7" t="s">
        <v>19</v>
      </c>
      <c r="E8" s="7" t="s">
        <v>20</v>
      </c>
      <c r="F8" s="7" t="s">
        <v>21</v>
      </c>
      <c r="G8" s="6">
        <v>58000</v>
      </c>
      <c r="H8" s="6">
        <v>2017</v>
      </c>
      <c r="J8" s="12" t="s">
        <v>6</v>
      </c>
      <c r="K8" s="12" t="str">
        <f>VLOOKUP(J8,C4:H12,3,0)</f>
        <v>Sales</v>
      </c>
    </row>
    <row r="9" spans="3:11" ht="35.25" thickBot="1" x14ac:dyDescent="0.3">
      <c r="C9" s="3" t="s">
        <v>22</v>
      </c>
      <c r="D9" s="5" t="s">
        <v>23</v>
      </c>
      <c r="E9" s="5" t="s">
        <v>24</v>
      </c>
      <c r="F9" s="5" t="s">
        <v>9</v>
      </c>
      <c r="G9" s="3">
        <v>48000</v>
      </c>
      <c r="H9" s="3">
        <v>2021</v>
      </c>
    </row>
    <row r="10" spans="3:11" ht="35.25" thickBot="1" x14ac:dyDescent="0.3">
      <c r="C10" s="6" t="s">
        <v>25</v>
      </c>
      <c r="D10" s="7" t="s">
        <v>26</v>
      </c>
      <c r="E10" s="7" t="s">
        <v>16</v>
      </c>
      <c r="F10" s="7" t="s">
        <v>27</v>
      </c>
      <c r="G10" s="6">
        <v>62000</v>
      </c>
      <c r="H10" s="6">
        <v>2019</v>
      </c>
      <c r="J10" s="13" t="s">
        <v>1</v>
      </c>
      <c r="K10" s="13" t="s">
        <v>4</v>
      </c>
    </row>
    <row r="11" spans="3:11" ht="35.25" thickBot="1" x14ac:dyDescent="0.3">
      <c r="C11" s="3" t="s">
        <v>28</v>
      </c>
      <c r="D11" s="5" t="s">
        <v>29</v>
      </c>
      <c r="E11" s="5" t="s">
        <v>8</v>
      </c>
      <c r="F11" s="5" t="s">
        <v>30</v>
      </c>
      <c r="G11" s="3">
        <v>47000</v>
      </c>
      <c r="H11" s="3">
        <v>2020</v>
      </c>
      <c r="J11" s="12" t="s">
        <v>32</v>
      </c>
      <c r="K11" s="14">
        <f>VLOOKUP(J11,D4:H12,4,0)</f>
        <v>54000</v>
      </c>
    </row>
    <row r="12" spans="3:11" ht="35.25" thickBot="1" x14ac:dyDescent="0.3">
      <c r="C12" s="6" t="s">
        <v>31</v>
      </c>
      <c r="D12" s="7" t="s">
        <v>32</v>
      </c>
      <c r="E12" s="7" t="s">
        <v>12</v>
      </c>
      <c r="F12" s="7" t="s">
        <v>17</v>
      </c>
      <c r="G12" s="6">
        <v>54000</v>
      </c>
      <c r="H12" s="6">
        <v>2016</v>
      </c>
    </row>
    <row r="13" spans="3:11" x14ac:dyDescent="0.25">
      <c r="J13" s="13" t="s">
        <v>36</v>
      </c>
      <c r="K13" s="13" t="s">
        <v>3</v>
      </c>
    </row>
    <row r="14" spans="3:11" x14ac:dyDescent="0.25">
      <c r="J14" s="12" t="s">
        <v>31</v>
      </c>
      <c r="K14" s="12" t="str">
        <f>VLOOKUP(J14,C4:H12,4,0)</f>
        <v>Bangalore</v>
      </c>
    </row>
    <row r="16" spans="3:11" x14ac:dyDescent="0.25">
      <c r="J16" s="13" t="s">
        <v>36</v>
      </c>
      <c r="K16" s="13" t="s">
        <v>3</v>
      </c>
    </row>
    <row r="17" spans="10:11" x14ac:dyDescent="0.25">
      <c r="J17" s="12" t="s">
        <v>37</v>
      </c>
      <c r="K17" s="12" t="str">
        <f>IFERROR(VLOOKUP(J17,C7:H15,4,0),"Not Found")</f>
        <v>Not Found</v>
      </c>
    </row>
    <row r="19" spans="10:11" x14ac:dyDescent="0.25">
      <c r="J19" s="17" t="s">
        <v>36</v>
      </c>
      <c r="K19" s="17" t="s">
        <v>38</v>
      </c>
    </row>
    <row r="20" spans="10:11" x14ac:dyDescent="0.25">
      <c r="J20" s="15" t="s">
        <v>31</v>
      </c>
      <c r="K20" s="16">
        <f>VLOOKUP(J20,C4:H12,6,0)</f>
        <v>2016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572A8-C0EA-4C30-B1E4-8D184D587815}">
  <dimension ref="A3:J27"/>
  <sheetViews>
    <sheetView tabSelected="1" topLeftCell="A13" workbookViewId="0">
      <selection activeCell="I3" sqref="I3"/>
    </sheetView>
  </sheetViews>
  <sheetFormatPr defaultRowHeight="15" x14ac:dyDescent="0.25"/>
  <cols>
    <col min="8" max="8" width="15.7109375" customWidth="1"/>
    <col min="9" max="9" width="19.85546875" bestFit="1" customWidth="1"/>
  </cols>
  <sheetData>
    <row r="3" spans="1:10" x14ac:dyDescent="0.25">
      <c r="H3" s="27" t="s">
        <v>44</v>
      </c>
    </row>
    <row r="5" spans="1:10" ht="15.75" thickBot="1" x14ac:dyDescent="0.3"/>
    <row r="6" spans="1:10" ht="35.25" thickBot="1" x14ac:dyDescent="0.3">
      <c r="A6" s="2" t="s">
        <v>2</v>
      </c>
      <c r="B6" s="1" t="s">
        <v>8</v>
      </c>
      <c r="C6" s="1" t="s">
        <v>12</v>
      </c>
      <c r="D6" s="1" t="s">
        <v>16</v>
      </c>
      <c r="E6" s="1" t="s">
        <v>20</v>
      </c>
      <c r="F6" s="1" t="s">
        <v>24</v>
      </c>
    </row>
    <row r="7" spans="1:10" ht="35.25" thickBot="1" x14ac:dyDescent="0.3">
      <c r="A7" s="5" t="s">
        <v>33</v>
      </c>
      <c r="B7" s="11">
        <v>0.1</v>
      </c>
      <c r="C7" s="11">
        <v>0.08</v>
      </c>
      <c r="D7" s="11">
        <v>0.12</v>
      </c>
      <c r="E7" s="11">
        <v>0.15</v>
      </c>
      <c r="F7" s="11">
        <v>0.09</v>
      </c>
      <c r="G7" s="18"/>
      <c r="H7" s="24" t="s">
        <v>2</v>
      </c>
      <c r="I7" s="24" t="str">
        <f>HLOOKUP(H7,A6:F7,2,0)</f>
        <v>Bonus %</v>
      </c>
      <c r="J7" s="20"/>
    </row>
    <row r="8" spans="1:10" ht="18" thickBot="1" x14ac:dyDescent="0.3">
      <c r="E8" s="5"/>
      <c r="F8" s="11"/>
      <c r="G8" s="19"/>
      <c r="H8" s="22" t="s">
        <v>16</v>
      </c>
      <c r="I8" s="25">
        <f>HLOOKUP("IT",A6:F7,2,0)</f>
        <v>0.12</v>
      </c>
      <c r="J8" s="21"/>
    </row>
    <row r="9" spans="1:10" ht="52.5" thickBot="1" x14ac:dyDescent="0.3">
      <c r="A9" s="1" t="s">
        <v>0</v>
      </c>
      <c r="B9" s="2" t="s">
        <v>1</v>
      </c>
      <c r="C9" s="2" t="s">
        <v>2</v>
      </c>
      <c r="D9" s="2" t="s">
        <v>3</v>
      </c>
      <c r="E9" s="1" t="s">
        <v>4</v>
      </c>
      <c r="F9" s="1" t="s">
        <v>5</v>
      </c>
      <c r="H9" s="23" t="s">
        <v>20</v>
      </c>
      <c r="I9" s="26">
        <f>HLOOKUP("Finance",A6:F7,2,0)</f>
        <v>0.15</v>
      </c>
    </row>
    <row r="10" spans="1:10" ht="52.5" thickBot="1" x14ac:dyDescent="0.3">
      <c r="A10" s="3" t="s">
        <v>6</v>
      </c>
      <c r="B10" s="5" t="s">
        <v>7</v>
      </c>
      <c r="C10" s="5" t="s">
        <v>8</v>
      </c>
      <c r="D10" s="5" t="s">
        <v>9</v>
      </c>
      <c r="E10" s="3">
        <v>45000</v>
      </c>
      <c r="F10" s="3">
        <v>2019</v>
      </c>
    </row>
    <row r="11" spans="1:10" ht="52.5" thickBot="1" x14ac:dyDescent="0.3">
      <c r="A11" s="6" t="s">
        <v>10</v>
      </c>
      <c r="B11" s="7" t="s">
        <v>11</v>
      </c>
      <c r="C11" s="7" t="s">
        <v>12</v>
      </c>
      <c r="D11" s="7" t="s">
        <v>13</v>
      </c>
      <c r="E11" s="6">
        <v>52000</v>
      </c>
      <c r="F11" s="6">
        <v>2018</v>
      </c>
      <c r="H11" s="17" t="s">
        <v>39</v>
      </c>
      <c r="I11" s="17" t="s">
        <v>40</v>
      </c>
    </row>
    <row r="12" spans="1:10" ht="35.25" thickBot="1" x14ac:dyDescent="0.3">
      <c r="A12" s="3" t="s">
        <v>14</v>
      </c>
      <c r="B12" s="5" t="s">
        <v>15</v>
      </c>
      <c r="C12" s="5" t="s">
        <v>16</v>
      </c>
      <c r="D12" s="5" t="s">
        <v>17</v>
      </c>
      <c r="E12" s="3">
        <v>65000</v>
      </c>
      <c r="F12" s="3">
        <v>2020</v>
      </c>
      <c r="H12" s="12" t="s">
        <v>6</v>
      </c>
      <c r="I12" s="14">
        <f>VLOOKUP(H12,A10:F17,5,0)*HLOOKUP(VLOOKUP(H12,A10:F17,3,0),A6:F7,2,0)*100</f>
        <v>450000</v>
      </c>
    </row>
    <row r="13" spans="1:10" ht="35.25" thickBot="1" x14ac:dyDescent="0.3">
      <c r="A13" s="6" t="s">
        <v>18</v>
      </c>
      <c r="B13" s="7" t="s">
        <v>19</v>
      </c>
      <c r="C13" s="7" t="s">
        <v>20</v>
      </c>
      <c r="D13" s="7" t="s">
        <v>21</v>
      </c>
      <c r="E13" s="6">
        <v>58000</v>
      </c>
      <c r="F13" s="6">
        <v>2017</v>
      </c>
    </row>
    <row r="14" spans="1:10" ht="35.25" thickBot="1" x14ac:dyDescent="0.3">
      <c r="A14" s="3" t="s">
        <v>22</v>
      </c>
      <c r="B14" s="5" t="s">
        <v>23</v>
      </c>
      <c r="C14" s="5" t="s">
        <v>24</v>
      </c>
      <c r="D14" s="5" t="s">
        <v>9</v>
      </c>
      <c r="E14" s="3">
        <v>48000</v>
      </c>
      <c r="F14" s="3">
        <v>2021</v>
      </c>
      <c r="H14" s="17" t="s">
        <v>39</v>
      </c>
      <c r="I14" s="17" t="s">
        <v>4</v>
      </c>
    </row>
    <row r="15" spans="1:10" ht="35.25" thickBot="1" x14ac:dyDescent="0.3">
      <c r="A15" s="6" t="s">
        <v>25</v>
      </c>
      <c r="B15" s="7" t="s">
        <v>26</v>
      </c>
      <c r="C15" s="7" t="s">
        <v>16</v>
      </c>
      <c r="D15" s="7" t="s">
        <v>27</v>
      </c>
      <c r="E15" s="6">
        <v>62000</v>
      </c>
      <c r="F15" s="6">
        <v>2019</v>
      </c>
      <c r="H15" s="12" t="s">
        <v>10</v>
      </c>
      <c r="I15" s="14">
        <f>_xlfn.XLOOKUP(H15,A10:A17,E10:E17)</f>
        <v>52000</v>
      </c>
    </row>
    <row r="16" spans="1:10" ht="35.25" thickBot="1" x14ac:dyDescent="0.3">
      <c r="A16" s="3" t="s">
        <v>28</v>
      </c>
      <c r="B16" s="5" t="s">
        <v>29</v>
      </c>
      <c r="C16" s="5" t="s">
        <v>8</v>
      </c>
      <c r="D16" s="5" t="s">
        <v>30</v>
      </c>
      <c r="E16" s="3">
        <v>47000</v>
      </c>
      <c r="F16" s="3">
        <v>2020</v>
      </c>
    </row>
    <row r="17" spans="1:9" ht="35.25" thickBot="1" x14ac:dyDescent="0.3">
      <c r="A17" s="6" t="s">
        <v>31</v>
      </c>
      <c r="B17" s="7" t="s">
        <v>32</v>
      </c>
      <c r="C17" s="7" t="s">
        <v>12</v>
      </c>
      <c r="D17" s="7" t="s">
        <v>17</v>
      </c>
      <c r="E17" s="6">
        <v>54000</v>
      </c>
      <c r="F17" s="6">
        <v>201</v>
      </c>
      <c r="H17" s="17" t="s">
        <v>41</v>
      </c>
      <c r="I17" s="17" t="s">
        <v>2</v>
      </c>
    </row>
    <row r="18" spans="1:9" x14ac:dyDescent="0.25">
      <c r="H18" s="12" t="s">
        <v>32</v>
      </c>
      <c r="I18" s="12" t="str">
        <f>_xlfn.XLOOKUP(H18,B10:B17,C10:C17)</f>
        <v>HR</v>
      </c>
    </row>
    <row r="20" spans="1:9" x14ac:dyDescent="0.25">
      <c r="H20" s="17" t="s">
        <v>41</v>
      </c>
      <c r="I20" s="17" t="s">
        <v>3</v>
      </c>
    </row>
    <row r="21" spans="1:9" x14ac:dyDescent="0.25">
      <c r="H21" s="12" t="s">
        <v>32</v>
      </c>
      <c r="I21" s="12" t="str">
        <f>_xlfn.XLOOKUP(H21,B10:B17,D10:D17)</f>
        <v>Bangalore</v>
      </c>
    </row>
    <row r="23" spans="1:9" x14ac:dyDescent="0.25">
      <c r="H23" s="17" t="s">
        <v>39</v>
      </c>
      <c r="I23" s="17" t="s">
        <v>4</v>
      </c>
    </row>
    <row r="24" spans="1:9" x14ac:dyDescent="0.25">
      <c r="H24" s="12" t="s">
        <v>42</v>
      </c>
      <c r="I24" s="12" t="str">
        <f>IFERROR(_xlfn.XLOOKUP(H24,A10:A17,C10:C17),"Employee Not Found")</f>
        <v>Employee Not Found</v>
      </c>
    </row>
    <row r="26" spans="1:9" x14ac:dyDescent="0.25">
      <c r="H26" s="17" t="s">
        <v>2</v>
      </c>
      <c r="I26" s="17" t="s">
        <v>33</v>
      </c>
    </row>
    <row r="27" spans="1:9" x14ac:dyDescent="0.25">
      <c r="H27" s="12" t="s">
        <v>12</v>
      </c>
      <c r="I27" s="14">
        <f>_xlfn.XLOOKUP(H27,A6:F6,A7:F7)*100</f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CA731-C99F-4133-8D50-17E0E7620E7E}">
  <dimension ref="A1"/>
  <sheetViews>
    <sheetView workbookViewId="0">
      <selection activeCell="E12" sqref="E1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ASDC6</dc:creator>
  <cp:lastModifiedBy>ASDC6</cp:lastModifiedBy>
  <dcterms:created xsi:type="dcterms:W3CDTF">2026-07-12T07:58:13Z</dcterms:created>
  <dcterms:modified xsi:type="dcterms:W3CDTF">2026-07-12T09:35:51Z</dcterms:modified>
</cp:coreProperties>
</file>